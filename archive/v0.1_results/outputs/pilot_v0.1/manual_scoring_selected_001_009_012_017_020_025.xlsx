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0x47/Desktop/pim_planbench/outputs/pilot_v0.1/"/>
    </mc:Choice>
  </mc:AlternateContent>
  <xr:revisionPtr revIDLastSave="0" documentId="13_ncr:1_{A6501527-53A4-9447-AE97-614B344895B9}" xr6:coauthVersionLast="47" xr6:coauthVersionMax="47" xr10:uidLastSave="{00000000-0000-0000-0000-000000000000}"/>
  <bookViews>
    <workbookView xWindow="4440" yWindow="760" windowWidth="25800" windowHeight="17620" xr2:uid="{00000000-000D-0000-FFFF-FFFF00000000}"/>
  </bookViews>
  <sheets>
    <sheet name="人工评分" sheetId="1" r:id="rId1"/>
    <sheet name="说明" sheetId="2" r:id="rId2"/>
    <sheet name="评分进度"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B2" i="3"/>
  <c r="F7" i="3"/>
  <c r="C7" i="3"/>
  <c r="B7" i="3"/>
  <c r="F6" i="3"/>
  <c r="C6" i="3"/>
  <c r="B6" i="3"/>
  <c r="F5" i="3"/>
  <c r="C5" i="3"/>
  <c r="B5" i="3"/>
  <c r="F4" i="3"/>
  <c r="C4" i="3"/>
  <c r="B4" i="3"/>
  <c r="F3" i="3"/>
  <c r="C3" i="3"/>
  <c r="B3" i="3"/>
  <c r="F2" i="3"/>
  <c r="D4" i="3" l="1"/>
  <c r="E7" i="3"/>
  <c r="D3" i="3"/>
  <c r="E5" i="3"/>
  <c r="E3" i="3"/>
  <c r="E6" i="3"/>
  <c r="D2" i="3"/>
  <c r="E2" i="3"/>
  <c r="D6" i="3"/>
  <c r="E4" i="3"/>
  <c r="D5" i="3"/>
  <c r="D7" i="3"/>
</calcChain>
</file>

<file path=xl/sharedStrings.xml><?xml version="1.0" encoding="utf-8"?>
<sst xmlns="http://schemas.openxmlformats.org/spreadsheetml/2006/main" count="1711" uniqueCount="258">
  <si>
    <t>问题ID</t>
  </si>
  <si>
    <t>难度</t>
  </si>
  <si>
    <t>领域</t>
  </si>
  <si>
    <t>任务类型</t>
  </si>
  <si>
    <t>PDE/系统</t>
  </si>
  <si>
    <t>题面英文</t>
  </si>
  <si>
    <t>题面中文</t>
  </si>
  <si>
    <t>评价角度</t>
  </si>
  <si>
    <t>评价角度英文</t>
  </si>
  <si>
    <t>模型</t>
  </si>
  <si>
    <t>模型原名</t>
  </si>
  <si>
    <t>模型回答英文</t>
  </si>
  <si>
    <t>模型回答中文</t>
  </si>
  <si>
    <t>参考答案/要点</t>
  </si>
  <si>
    <t>错误标签</t>
  </si>
  <si>
    <t>备注</t>
  </si>
  <si>
    <t>easy_heat_1d_dirichlet_001</t>
  </si>
  <si>
    <t>简单</t>
  </si>
  <si>
    <t>heat_transfer</t>
  </si>
  <si>
    <t>forward_pde_solving</t>
  </si>
  <si>
    <t>1D heat equation</t>
  </si>
  <si>
    <t>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t>
  </si>
  <si>
    <t>一位研究者希望在一个固定时间区间内，对一维杆中的热扩散过程进行建模。热扩散系数已知，初始温度分布已给出，杆的两端保持在给定的固定温度。请设计一个物理信息建模工作流，用于近似温度场。</t>
  </si>
  <si>
    <t>问题形式化</t>
  </si>
  <si>
    <t>Problem Formalization</t>
  </si>
  <si>
    <t>DeepSeek-V4-Flash</t>
  </si>
  <si>
    <t>deepseek-ai/DeepSeek-V4-Flash</t>
  </si>
  <si>
    <t>问题是在一个长度为L的1D棒上沿时间间隔[0，t]近似温度场u（x,t）。控制偏微分方程是热方程：u_t = α u_xx，其中α是已知的热扩散系数。初始条件：u(x,0) = f(x)（给定）。边界条件：u(0,t) = g0(t), u(L,t) = gL(t)（规定的固定温度，即狄利克雷条件）。几何形状(L)和时间间隔(T)未指定；必须提供它们来定义域。</t>
  </si>
  <si>
    <t>变量: x；t；u(x,t) || 已知参数: alpha = 1.0 || 未知量: u(x,t) || 区域/时间: space: x in [0,1]；time: t in [0,1] || 参数取值: alpha: 1.0</t>
  </si>
  <si>
    <t>GPT-5.5-Thinking</t>
  </si>
  <si>
    <t>Open-ai/GPT-5.5-Thinking</t>
  </si>
  <si>
    <t>Kimi-K2.6</t>
  </si>
  <si>
    <t>Pro/moonshotai/Kimi-K2.6</t>
  </si>
  <si>
    <t>任务是求解由一维热方程 u_t = alpha * u_xx 描述的温度场 u(x,t)，其空间域为 (0,L) ，时间区间为 (0,T) 。热扩散系数 alpha 已知，初始状态 u(x，0) = u_0(x) 已给出，两端满足狄利克雷条件 u(0,t) = g_0(t) 和 u(L,t) = g_L(t) 。虽然已指定了初始条件、边界条件和扩散系数，但杆的长度 L 和最终时间 T 作为几何/时间范围参数隐含存在，必须明确界定以构建计算域。目标是在整个时空圆柱体上获得 u(x,t) 的正向近似值。</t>
  </si>
  <si>
    <t>GLM-4.7</t>
  </si>
  <si>
    <t>Pro/zai-org/GLM-4.7</t>
  </si>
  <si>
    <t>定义空间域为 $x \in [0, L]$，时间域为 $t \in [0， T]$。目标是近似由热方程 $\frac{\partial u}{\partial t} = \alpha \frac{\partial^2 u}{\partial x^2}$ 所描述的温度场 $u(x,t)$。初始条件为 $u(x， 0) = f(x)$，而 Dirichlet 边界条件为 $u(0, t) = u_{left}$ 和 $u(L， t) = u_{right}$。$L， T， \alpha， f(x)， u_{left}， u_{right}$ 的具体数值被视为已知输入。</t>
  </si>
  <si>
    <t>物理约束</t>
  </si>
  <si>
    <t>Physics Constraints</t>
  </si>
  <si>
    <t>该解决方案必须满足热方程（偏微分方程残差 ≈ 0）、初始条件（在 t = 0 时 IC 残差 ≈ 0）以及狄利克雷边界条件（在 x = 0 和 x = L 处 BC 残差 ≈ 0）。这些约束条件作为软性惩罚项纳入损失函数中。无需其他约束条件（例如通量连续性）。</t>
  </si>
  <si>
    <t>标准PDE: u_t = alpha * u_xx, with alpha = 1.0 || 约束: initial_condition: u(x,0) is given; suggested execution-validation IC: u(x,0)=sin(pi*x)；boundary_conditions: u(0,t)=0；u(1,t)=0 || 参考条件: initial: u(x,0)=sin(pi*x)；boundary: u(0,t)=0；u(1,t)=0</t>
  </si>
  <si>
    <t>该模型必须满足以下条件：（1）在内部区域，偏微分方程残差 u_t - α*u_xx = 0；（2）初始条件 u(x,0) = u_0(x)；（3）狄利克雷边界条件 u(0,t) = g_0(t) 和 u(L,t) = g_L(t)。一个关键但未明确说明的条件是空间-时间角点的兼容性：如果 u_0(0) != g_0(0) 或 u_0(L) != g_L(0)，则解会失去初始时间的光滑性，从而在 t=0 时产生一个奇异层，这会使得基于梯度的训练变得复杂。最大原理和能量衰减提供了物理合理性检查，但网络不会自动执行这些条件。</t>
  </si>
  <si>
    <t>该模型在整个区域内必须满足热方程的残差条件 $r = \frac{\partial u}{\partial t} - \alpha \frac{\partial^2 u}{\partial x^2} \approx 0$ 。</t>
  </si>
  <si>
    <t>模型选择</t>
  </si>
  <si>
    <t>Model Choice</t>
  </si>
  <si>
    <t>采用基于物理原理的神经网络（PINN）是合适的。该神经网络将（x，t）作为输入，并输出 u(x,t)。它能够适应 PDE 类型（抛物型、线性）以及可用的数据（没有观测值，只有已知的初始条件/边界条件）。PINN 可以处理不规则的区域，并且对于具有已知参数的正向问题具有鲁棒性。该模型应具有适度数量的层（例如，4 - 6 个隐藏层，每个层 50 - 100 个神经元），并使用 tanh 激活函数以获得平滑的解。</t>
  </si>
  <si>
    <t>可接受模型选择: PINN；physics-informed neural network</t>
  </si>
  <si>
    <t>使用具有双曲正切激活函数的全连接物理信息神经网络（PINN），并设置 4 到 6 个隐藏层，每层包含 32 到 64 个神经元。选择双曲正切函数是因为热方程能生成平滑的解，而不会出现脉冲现象。通过输出变换硬性施加狄利克雷边界条件，例如：u_pred(x,t) = (1-x/L)*g_0(t) + (x/L)*g_L(t) + x*(L-x)*NN(x,t)，这样网络就只学习均匀修正，而边界漂移则被消除。如果初始轮廓包含高频模式，则通过添加傅里叶特征嵌入或使用具有残差连接的修改后的多层感知机来减轻频谱偏差。</t>
  </si>
  <si>
    <t>选择了一个全连接的多层感知机（MLP）。输入为坐标 $(x, t)$，输出为温度 $u$。该架构包含 4 个隐藏层，每个层有 32 个神经元，并采用 Tanh 激活函数。这一选择能够提供足够的拟合能力来逼近扩散方程的光滑解，同时保持计算效率。</t>
  </si>
  <si>
    <t>训练策略</t>
  </si>
  <si>
    <t>Training Strategy</t>
  </si>
  <si>
    <t>损失值 = λ_PDE * MSE_PDE + λ_IC * MSE_IC + λ_BC * MSE_BC。样本节点位置：N_f 个内部节点（例如，拉丁超立方体或随机分布），N_IC 个在 t=0 时沿 x 轴的位置节点，N_BC 个在 x=0 和 x=L 处随时间变化的位置节点。初始使用 Adam 优化器，然后进行 L-BFGS 优化以进行微调。自适应损失权重（例如，使用梯度统计或 NTK）可能有助于提高收敛性。在训练过程中监测 PDE 剩余值和 IC/BC 误差。</t>
  </si>
  <si>
    <t>期望loss项: PDE residual loss；initial condition loss；Dirichlet boundary loss || 期望训练策略: sample collocation points in the space-time domain；sample initial and boundary points separately；normalize inputs or nondimensionalize variables；use Adam followed by L-BFGS or an equivalent optimizer schedule</t>
  </si>
  <si>
    <t>将空间和时间输入值归一化至[0，1]范围，以改善条件性。通过拉丁超立方抽样在内部区域选取样本位置，并在 t = 0 附近以及边界处增加密度，如果预期存在陡峭的瞬态现象；应用基于残差的自适应细化（RAR）方法重新采样高损失区域。将损失定义为偏微分方程残差的均方差加上初始条件的均方误差（边界损失通过硬变换去除）。首先使用 Adam 算法（学习率为 1e-3）进行优化，优化次数为 50，000 至 100，000 次迭代，然后切换到 L-BFGS 以实现高精度收敛。使用自适应加权方法（例如基于 NTK 或 GradNorm）来平衡偏微分方程和初始条件的损失项，特别是在 alpha 较小或初始瞬态较陡峭的情况下。对于较长的时间范围，可以考虑采用顺序时间推进或因果加权方案以尊重时间因果关系。</t>
  </si>
  <si>
    <t>最小化一个复合损失函数 $L = L_{PDE} + \lambda_{IC} L_{IC} + \lambda_{BC} L_{BC}$ 。采用随机抽样（或拉丁超立方抽样）来为 PDE 损失生成插值点。特别地，在 $t=0$ 处对 IC 进行采样，在 $x=0， L$ 处对 BC 进行采样。首先使用 Adam 进行初始收敛优化，然后使用 L-BFGS 以高精度进行优化。权重 $\lambda$ 被调整以平衡各损失项。</t>
  </si>
  <si>
    <t>验证与失败风险</t>
  </si>
  <si>
    <t>Validation Failure Risks</t>
  </si>
  <si>
    <t>存在谱偏差（低频收敛）的风险，这可能导致解决方案中高频特征的不准确。存在不平衡损失项的风险，这会导致约束满足效果不佳。如果使用的节点数量过少，就存在过度拟合到节点点上的风险。如果偏微分方程约束过于严格，就存在训练不稳定的风险。缓解措施：采用自适应采样（例如，根据残差重新采样节点），学习率调度以及多个随机种子。如果有解析解，就用其进行验证，或者检查能量守恒和最大原理。</t>
  </si>
  <si>
    <t>期望验证: compare against analytical solution if using u(x,0)=sin(pi*x)；report PDE residual error；report initial and boundary condition errors || 常见陷阱: omits initial condition loss；omits boundary loss；hallucinates Neumann boundary conditions；treats alpha as unknown without evidence</t>
  </si>
  <si>
    <t>主要风险包括：（i）集成电路（IC）与边界条件（BC）之间的不兼容导致在（0，0）和（L，0）附近存在持续的高残差以及缓慢收敛；（ii）当α值较小时，频谱偏差会妨碍高频率初始数据或薄边界层的准确表示；（iii）如果网络在未按时间顺序进行训练的情况下进行全局训练，则会出现因果关系违背或误差累积问题；（iv）采样点之间的插值密度不足会导致样本点之间的非物理模式；（v）由于缺乏内部观测数据，验证完全依赖于偏微分方程残差监测和物理一致性检查（例如，单调能量衰减、最大原理），因此未检测到的近似误差可能会持续存在而没有可供验证的参考解。</t>
  </si>
  <si>
    <t>潜在的故障模式包括：光谱偏差导致无法捕捉初始轮廓中的尖锐特征；优化过程陷入局部最小值，从而产生不合理的解；以及损失项的不平衡使得模型在内部优先考虑边界条件而非控制方程本身。</t>
  </si>
  <si>
    <t>medium_heat_inverse_alpha_009</t>
  </si>
  <si>
    <t>中等</t>
  </si>
  <si>
    <t>inverse_parameter_estimation</t>
  </si>
  <si>
    <t>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t>
  </si>
  <si>
    <t>一个实验室在一维杆的若干时空位置测量了稀疏且可能含噪的温度值。热方程形式已知，但热扩散系数未知。请设计一个物理信息建模工作流，用于推断扩散系数并重构温度场，同时说明还需要指定或获得哪些额外物理条件。</t>
  </si>
  <si>
    <t>We aim to infer the unknown thermal diffusivity α (scalar or spatially varying) and reconstruct the temperature field u(x,t) from sparse, noisy temperature measurements at discrete (x,t) locations along a 1D rod. The heat equation ∂u/∂t = α ∂²u/∂x² is assumed. Missing conditions: initial condition u(x,0), boundary conditions at rod ends (e.g., Dirichlet, Neumann, or Robin), rod length L, measurement noise level, and whether α is constant or variable. These must be specified or estimated from data or prior knowledge.</t>
  </si>
  <si>
    <t>我们的目标是根据沿一维棒上离散的（x，t）位置处的稀疏且有噪声的温度测量值，推断未知的热扩散系数α（标量或空间变化形式）并重建温度场u(x,t)。假设热方程为∂u/∂t = α ∂²u/∂x²。缺失的条件包括：初始条件u(x，0)、棒端的边界条件（例如狄利克雷、诺伊曼或罗宾边界条件）、棒的长度L、测量噪声水平以及α是否为常数或变化的。这些条件必须明确指定或从数据或先验知识中估计得出。</t>
  </si>
  <si>
    <t>变量: x；t；u(x,t)；alpha || 未知量: u(x,t)；alpha || 区域/时间: space: x in [0,1]；time: t in [0,1] || 参数取值: alpha_true: 0.5；sensor_count: 100；noise: 1 percent Gaussian noise || 评分提醒: Do not require the model to guess the private IC/BC. Full-credit plans should state that IC/BC are needed or should be incorporated if available, and should not hallucinate unsupported values.</t>
  </si>
  <si>
    <t>Let x in [0,L] and t in [0,T]. Infer the unknown thermal diffusivity alpha and reconstruct temperature u(x,t) from sparse observations D={(x_i,t_i,u_i^obs)} under the heat equation u_t=alpha u_xx. The workflow requires the rod length, time window, initial condition, boundary conditions, observation locations, and noise characteristics. Without these, alpha may be non-identifiable or biased by missing physics.</t>
  </si>
  <si>
    <t>The forward model is the 1D heat equation u_t = α u_xx on x ∈ [0,L], t ∈ [0,T] with unknown constant thermal diffusivity α &gt; 0. Available information consists of sparse, noisy point measurements of temperature. Critical unspecified elements are: the domain length L, boundary conditions at both ends (Dirichlet, Neumann, or Robin), the initial condition u(x,0), and the observation noise statistics. If α is spatially varying, its regularity must also be declared. The goal is to jointly infer α and reconstruct u(x,t) everywhere.</t>
  </si>
  <si>
    <t>前向模型是方程 u_t = α u_xx，其定义域为 x ∈ [0,L]，时间范围为 t ∈ [0,T]，其中未知的常数热扩散率 α &gt; 0。可用的信息包括温度的稀疏、有噪声的点测量值。未明确的关键要素有：域长度 L、两端的边界条件（狄利克雷、诺伊曼或罗宾型）、初始条件 u(x，0) 以及观测噪声的统计信息。如果 α 是空间变化的，则还必须声明其规律性。目标是联合推断 α 并在所有位置重建 u(x,t)。</t>
  </si>
  <si>
    <t>The task is an inverse problem for the 1D heat equation $u_t = \alpha u_{xx}$ on a spatial domain $x \in [0, L]$ and time interval $t \in [0, T]$. The objective is to reconstruct the continuous temperature field $u(x,t)$ and infer the thermal diffusivity $\alpha$ (assumed constant) using sparse, noisy observations $\{(x_i, t_i, u_i)\}$. Missing Information: The Boundary Conditions (BCs) at $x=0, L$ and the Initial Condition (IC) at $t=0$ are not specified. These must be provided or assumed (e.g., Dirichlet, Neumann, or Periodic) to ensure a well-posed formulation.</t>
  </si>
  <si>
    <t>该任务属于一维热方程 $u_t = \alpha u_{xx}$ 的逆问题，其空间域为 $x \in [0, L]$，时间区间为 $t \in [0, T]$。目标是通过稀疏且带有噪声的观测数据 $\{(x_i, t_i, u_i)\}$ 重建连续温度场 $u(x,t)$ 并推断热扩散系数 $\alpha$（假设为常数）。缺失信息：边界条件（BC）在 $x=0$ 和 $L$ 处以及初始条件（IC）在 $t=0$ 处未作规定。这些内容必须提供或假定（例如，狄利克雷条件、诺伊曼条件或周期条件）以确保问题的正解性。</t>
  </si>
  <si>
    <t>The solution must satisfy the heat equation exactly (or approximately via soft penalty). Boundary and initial conditions are required for well-posedness; if unknown, they must be inferred as additional parameters or functions. The diffusivity α must be positive. If α is spatially varying, additional regularization (e.g., smoothness) may be needed. The reconstruction must be consistent with the measured data within noise bounds.</t>
  </si>
  <si>
    <t>待翻译：下一步可按代表题或按模型分批由我继续填入。</t>
  </si>
  <si>
    <t>标准PDE: u_t = alpha * u_xx with true alpha = 0.5 for the private reference || 约束: observations: 100 randomly sampled sparse temperature sensors with 1 percent Gaussian noise for the private reference setting；physics: heat equation form is known；initial_and_boundary_conditions: private execution reference uses u(x,0)=sin(pi*x), u(0,t)=0, u(1,t)=0; public task does not fully specify IC/BC, so a plan should request or account for them || 参考条件: initial: u(x,0)=sin(pi*x)；boundary: u(0,t)=0；u(1,t)=0；observations: 100 random space-time sensors with 1 percent Gaussian noise || 评分提醒: Do not require the model to guess the private IC/BC. Full-credit plans should state that IC/BC are needed or should be incorporated if available, and should not hallucinate unsupported values.</t>
  </si>
  <si>
    <t>Enforce r=u_t-alpha u_xx=0 and alpha&gt;0, for example by parameterizing alpha=softplus(beta). Enforce available initial and boundary conditions: Dirichlet, Neumann, Robin, or measured boundary temperature/flux. The standard residual assumes a homogeneous rod, constant alpha, and no internal heat source; if material properties vary or heat generation/loss exists, those terms must be included or jointly estimated.</t>
  </si>
  <si>
    <t>Governing PDE residual u_t - α u_xx = 0 must vanish in the interior. Positivity of α is required, enforced by parameterizing α = exp(β). The problem is ill-posed without boundary and initial conditions; these must be supplied or independently measured. The heat equation parabolic nature enforces strong spatial smoothing for t &gt; 0, which regularizes the solution. Transient data are necessary for identifiability; steady-state or purely spatial data cannot determine α. Observation noise should be treated as aleatoric uncertainty rather than interpolated exactly.</t>
  </si>
  <si>
    <t>1. PDE Residual: The model must satisfy $f(x,t) = u_t - \alpha u_{xx} = 0$ at all collocation points. 2. Positivity: The diffusivity parameter must satisfy $\alpha &gt; 0$. 3. Boundary/Initial Consistency: The solution must adhere to the (required) BCs and ICs. 4. Smoothness: The temperature field $u(x,t)$ is expected to be smooth in space and time for standard heat diffusion.</t>
  </si>
  <si>
    <t>A physics-informed neural network (PINN) is appropriate: it can handle sparse data, incorporate the PDE as a loss term, and infer α as a trainable parameter (or as a neural network output if spatially varying). The network outputs u(x,t) and optionally α(x). The PDE residual loss enforces physics, while data loss fits measurements. This choice handles the inverse problem and noisy data without requiring a grid or explicit numerical solver.</t>
  </si>
  <si>
    <t>可接受模型选择: PINN with trainable alpha；physics-informed neural network with parameter inference || 评分提醒: Do not require the model to guess the private IC/BC. Full-credit plans should state that IC/BC are needed or should be incorporated if available, and should not hallucinate unsupported values.</t>
  </si>
  <si>
    <t>Use an inverse PINN with network output u_theta(x,t) and trainable scalar alpha. This fits the inverse parameter-estimation task because sparse data provide field anchors while the PDE residual constrains physically admissible temperature evolution. For noisy data, use a robust or probabilistic PINN so alpha uncertainty is reported rather than a single overconfident estimate.</t>
  </si>
  <si>
    <t>A Physics-Informed Neural Network (PINN) is selected: a fully-connected network mapping (x,t) → u with 6–8 layers, 32–64 neurons per layer, and tanh activation. The unknown α is a trainable scalar appended to the network parameters. This choice is justified because PINNs are mesh-free, handle sparse scattered data natively, and embed the PDE and parameter estimation into a single differentiable loss landscape. If initial transients contain high frequencies, Fourier feature embeddings or sinusoidal activations can be substituted.</t>
  </si>
  <si>
    <t>A Physics-Informed Neural Network (PINN) is selected. The architecture is a fully connected Multi-Layer Perceptron (MLP) with inputs $(x, t)$ and output $u$. The thermal diffusivity $\alpha$ is treated as a trainable scalar variable. Justification: PINNs are effective for inverse problems as they embed the PDE directly into the loss function, allowing the model to learn from sparse data while respecting the underlying physics, and they handle the continuous nature of the solution without requiring a mesh.</t>
  </si>
  <si>
    <t>Use a fully connected neural network with inputs (x,t) and output u. If α is constant, treat it as a trainable scalar; if spatially varying, output α from a separate network or as an additional output. Loss = λ_data * MSE(data, prediction) + λ_pde * MSE(PDE residual) + λ_ic * MSE(initial condition) + λ_bc * MSE(boundary conditions) + λ_reg * regularization (e.g., L2 on α gradients). Sample collocation points for PDE residual via Latin hypercube or random sampling. Use Adam optimizer initially, then L-BFGS for fine-tuning. Noise handling: use a robust loss (e.g., Huber) or weight data points by inverse noise variance. Validate on held-out data.</t>
  </si>
  <si>
    <t>期望loss项: PDE residual loss with trainable alpha；data loss on sparse noisy sensor measurements；initial condition loss if IC is available；boundary condition loss if BC is available；positivity constraint or positive parameterization for alpha || 期望训练策略: jointly optimize network weights and alpha；enforce alpha positivity through parameterization or constraints；balance data and physics losses under noisy sparse observations；use held-out sensors for validation；explicitly state that IC/BC information is required if not given || 评分提醒: Do not require the model to guess the private IC/BC. Full-credit plans should state that IC/BC are needed or should be incorporated if available, and should not hallucinate unsupported values.</t>
  </si>
  <si>
    <t>Minimize L=lambda_d data_loss+lambda_f MSE(u_t-alpha u_xx)+lambda_ic L_ic+lambda_bc L_bc. Use Huber or variance-weighted data loss for noisy sensors. Sample collocation points throughout the domain and concentrate additional points near sensors, boundaries, and large thermal gradients. Nondimensionalize variables, train beta and network weights with Adam then L-BFGS, and estimate uncertainty using ensembles, bootstrap resampling, or Bayesian treatment.</t>
  </si>
  <si>
    <t>Define the composite loss L = λ_d L_data + λ_p L_pde + λ_b L_bcic. L_data is MSE on sparse observations (use Huber loss if outliers are suspected). L_pde is the squared residual on collocation points sampled via Latin Hypercube Sampling; apply residual-based adaptive refinement to add points where |R| is large. L_bcic penalizes deviations from any known boundary or initial data—if these are unknown, the workflow must halt until they are obtained. Optimize first with Adam (lr ~ 1e-3) for 20k–50k steps, then fine-tune with L-BFGS. Use adaptive weighting (e.g., GradNorm) to balance terms. Validate on a held-out subset of observations (10–20%) and monitor the PDE residual norm and the physical plausibility of α.</t>
  </si>
  <si>
    <t>Loss Function: $\mathcal{L} = \lambda_{data} \mathcal{L}_{data} + \lambda_{PDE} \mathcal{L}_{PDE} + \lambda_{BC} \mathcal{L}_{BC} + \lambda_{IC} \mathcal{L}_{IC}$. $\mathcal{L}_{data}$ is the MSE on the sparse observations. $\mathcal{L}_{PDE}$ is the MSE of the residual evaluated on random collocation points. $\mathcal{L}_{BC}$ and $\mathcal{L}_{IC}$ enforce the (user-specified) boundary and initial conditions. Optimization: Use Adam for initial convergence followed by L-BFGS for high precision. Sampling: Use Latin Hypercube Sampling (LHS) for collocation points to ensure domain coverage.</t>
  </si>
  <si>
    <t>1) Non-uniqueness: multiple (α, u) pairs may fit data and PDE if boundary/initial conditions are missing. 2) Overfitting to noise if λ_data is too high. 3) Poor convergence if α is spatially varying and under-regularized. 4) Spectral bias: PINNs may fail to capture high-frequency components in u. 5) Sensitivity to collocation point distribution. Mitigations: use cross-validation, add regularization, employ adaptive sampling, and enforce known physical constraints (e.g., maximum principle).</t>
  </si>
  <si>
    <t>期望验证: alpha estimation error if ground truth is available；field reconstruction error；PDE residual；held-out sensor error；sensitivity to noise || 常见陷阱: treats alpha as known；does not include data loss；does not constrain alpha positivity；hallucinates complete IC/BC instead of flagging missing or required conditions || 评分提醒: Do not require the model to guess the private IC/BC. Full-credit plans should state that IC/BC are needed or should be incorporated if available, and should not hallucinate unsupported values.</t>
  </si>
  <si>
    <t>Validate alpha using held-out sensors, residual maps, boundary/initial errors, posterior or ensemble spread, and comparison with independent material-property measurements. Failure risks include poor identifiability when u_xx is nearly zero, wrong or missing boundary conditions, unmodeled heat sources, nonconstant diffusivity, sparse sensors concentrated in low-information regions, and noise or outliers being absorbed into alpha.</t>
  </si>
  <si>
    <t>1. Missing BCs/ICs: Without them, the inverse problem admits infinitely many solutions; validation will reveal high PDE residuals near boundaries and unstable α estimates. 2. Non-identifiability: α is unrecoverable if measurements are steady-state, spatially uniform, or lack sufficient temporal variation. 3. Noise-sparsity trade-off: Too few points or high noise can cause overfitting to data or underfitting of physics. 4. Spectral bias and extrapolation: The network may smooth sharp initial gradients or fail outside the observed (x,t) hull. 5. Optimization traps: α may converge to local minima; mitigate with multiple random restarts. 6. Boundary layer errors: Incorrectly assumed boundary conditions produce systematic reconstruction errors at x=0 and x=L that are detectable via held-out boundary probes.</t>
  </si>
  <si>
    <t>1. Ill-posedness: Without explicit BCs/ICs, the solution is non-unique; the model may converge to a field that fits the data but violates physical reality. 2. Noise Overfitting: Sparse, noisy data may lead the network to fit the noise rather than the trend, resulting in poor generalization of $\alpha$. 3. Spectral Bias: The network may struggle to reconstruct sharp gradients in the initial temperature profile or boundary layers. 4. Identifiability: If the data is insufficiently rich (e.g., only steady-state), $\alpha$ may not be uniquely identifiable from the loss landscape.</t>
  </si>
  <si>
    <t>medium_wave_sparse_sensors_012</t>
  </si>
  <si>
    <t>wave_propagation</t>
  </si>
  <si>
    <t>sparse_observation_modeling</t>
  </si>
  <si>
    <t>1D wave equation</t>
  </si>
  <si>
    <t>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t>
  </si>
  <si>
    <t>一个团队拥有一维波场随时间变化的稀疏传感器测量。波速已知，但完整的初始信息和边界信息可能不可用，或只被部分指定。请设计一个物理信息建模工作流，并说明需要哪些额外信息、假设或可辨识性检查。</t>
  </si>
  <si>
    <t>We consider a one-dimensional wave field u(x,t) governed by the wave equation u_tt = c^2 u_xx, with known wave speed c. Sparse sensor measurements provide u at a limited set of spatial locations and time points. The initial conditions u(x,0) and u_t(x,0), as well as boundary conditions, are partially or completely unknown. The goal is to reconstruct the full wave field and possibly infer missing conditions, given the sparse data and known physics.</t>
  </si>
  <si>
    <t>变量: x；t；u(x,t) || 已知参数: c = 1.0 || 未知量: u(x,t) || 区域/时间: space: x in [0,1]；time: t in [0,1] || 参数取值: c: 1.0；sensor_count: 100；noise: 1 percent Gaussian noise || 评分提醒: This task is designed to reward missing-condition awareness. Do not require the model to guess the private IC/BC; penalize unsupported hallucination of complete conditions.</t>
  </si>
  <si>
    <t>Approximate a one-dimensional wave field u(x,t) on x in [0,L], t in [0,T] with known wave speed c and sparse sensor measurements. The governing equation is typically u_tt=c^2 u_xx. Full initial and boundary data may be incomplete, so the workflow must identify which of u(x,0), u_t(x,0), and boundary conditions are measured, prescribed, or inferred. Domain length, time window, sensor locations, and noise levels are required.</t>
  </si>
  <si>
    <t>The goal is to reconstruct a 1D wave field u(x,t) satisfying u_tt = c^2 u_xx on a spatial domain and time interval [0,T], where the wave speed c is known. Available data are sparse point measurements {(x_i, t_i, u_i)}. Critical missing information includes: the complete initial state (both displacement u(x,0) and velocity u_t(x,0)), the type and values of boundary conditions at spatial endpoints, confirmation of zero sources or damping, and exact domain geometry. This makes the problem an ill-posed inverse reconstruction: the full field and latent initial/boundary functions must be inferred jointly from sparse interior observations and the PDE.</t>
  </si>
  <si>
    <t>The objective is to reconstruct the spatiotemporal wave field $u(x,t)$ in 1D given sparse sensor observations $\{u(x_i, t_j)\}$ and a known wave speed $c$. The system is governed by the wave equation $u_{tt} = c^2 u_{xx}$. The problem is ill-posed due to data sparsity and potentially missing initial conditions ($u(x,0), u_t(x,0)$) and boundary conditions ($u(0,t), u(L,t)$). The workflow must explicitly identify these missing constraints and determine if they can be inferred or must be assumed.</t>
  </si>
  <si>
    <t>The wave equation imposes a strong constraint linking temporal and spatial derivatives. Physics-informed loss terms enforce the PDE residual (u_tt - c^2 u_xx) to be near zero at collocation points. Additionally, if any boundary or initial conditions are known, they can be enforced as soft or hard constraints. The known wave speed c is a fixed parameter, reducing the number of unknowns. The sparse sensor data provide pointwise observations to anchor the solution.</t>
  </si>
  <si>
    <t>标准PDE: u_tt = c^2 * u_xx, with c = 1.0 in the private reference setting || 约束: observations: 100 sparse wave-field sensors with 1 percent Gaussian noise for the private reference setting；missing_information: public task intentionally leaves full IC/BC incomplete; high-quality plans should request IC/BC or state assumptions and identifiability risks || 参考条件: private_initial: u(x,0)=sin(pi*x)；u_t(x,0)=0；private_boundary: u(0,t)=0；u(1,t)=0；observations: 100 sparse space-time sensors with 1 percent Gaussian noise || 评分提醒: This task is designed to reward missing-condition awareness. Do not require the model to guess the private IC/BC; penalize unsupported hallucination of complete conditions.</t>
  </si>
  <si>
    <t>Enforce the wave-equation residual r=u_tt-c^2u_xx=0. Add data constraints at sensor points. Add any known initial displacement, initial velocity, and boundary conditions; if incomplete, impose physically justified assumptions such as fixed ends, free ends, absorbing boundaries, periodicity, or learnable boundary functions. Missing conditions affect uniqueness and long-time stability.</t>
  </si>
  <si>
    <t>The hard constraint is the wave equation residual R = u_tt - c^2 u_xx = 0 in the interior. Characteristic lines x ± ct dictate finite-speed information propagation, so sensor coverage must intersect the domains of dependence of any missing initial or boundary data. If the medium is non-dissipative, total mechanical energy E(t) = 1/2 ∫ (u_t^2 + c^2 u_x^2) dx is conserved. Because initial and boundary conditions are incomplete, the solution is not unique without additional assumptions. Required assumptions are: (1) c is constant and known (if spatially varying, it becomes an unknown coefficient field); (2) no unmodeled sources or damping; (3) missing initial and boundary traces are sufficiently smooth to be parameterized. Identifiability requires that sensors resolve both left- and right-traveling characteristic components; otherwise the missing conditions cannot be disambiguated.</t>
  </si>
  <si>
    <t>The core constraint is the PDE residual $R = u_{tt} - c^2 u_{xx} = 0$. Boundary conditions (BCs) and initial conditions (ICs) are necessary for well-posedness. If BCs are unknown, the workflow requires assumptions (e.g., Dirichlet, Neumann, periodic) or the inclusion of boundary values as trainable parameters. If ICs are unknown, the model relies on the sparse data and PDE constraint to infer the state, provided the temporal coverage is sufficient for identifiability.</t>
  </si>
  <si>
    <t>A physics-informed neural network (PINN) is appropriate because it can incorporate the wave equation as a soft constraint and handle sparse, irregularly spaced data. The network takes (x,t) as inputs and outputs u(x,t). Automatic differentiation computes the PDE residual. This approach does not require a grid or explicit time-stepping, making it suitable for sparse sensor configurations. Alternative methods like finite differences would require dense initial/boundary data or interpolation, which is unreliable here.</t>
  </si>
  <si>
    <t>可接受模型选择: PINN with sensor data loss；physics-informed data assimilation model || 评分提醒: This task is designed to reward missing-condition awareness. Do not require the model to guess the private IC/BC; penalize unsupported hallucination of complete conditions.</t>
  </si>
  <si>
    <t>Use a data-assimilating PINN mapping (x,t) to u_theta(x,t). This suits sparse observations because the PDE provides a strong dynamic constraint, while data anchor phase and amplitude. For long-time or high-frequency waves, a SIREN/Fourier-feature network or time-windowed PINN is preferable to a plain MLP to reduce phase error.</t>
  </si>
  <si>
    <t>Adopt a Physics-Informed Neural Network (PINN) with a fully-connected architecture for u_θ(x,t). PINNs are chosen because they naturally handle unstructured sparse observations without a mesh and allow soft enforcement of the PDE alongside unknown conditions. Missing initial and boundary data are co-parameterized as auxiliary networks or latent vectors (e.g., u(x,0;φ), u_t(x,0;ψ), and boundary traces u(x_b,t;η)). To mitigate spectral bias in oscillatory wave problems, use Fourier feature positional encoding or sinusoidal activations. Pure operator-learning approaches (FNO/DeepONet) are rejected because sparse sensors provide insufficient training pairs for operator learning.</t>
  </si>
  <si>
    <t>A Physics-Informed Neural Network (PINN) is selected. A fully connected network with inputs $(x,t)$ and output $u$ will approximate the solution. Sinusoidal or Swish activation functions are preferred to capture wave-like oscillations. The model minimizes a composite loss function $L = \lambda_{data} L_{data} + \lambda_{pde} L_{pde} + \lambda_{bc} L_{bc} + \lambda_{ic} L_{ic}$, allowing the physics to regularize the solution in regions lacking data.</t>
  </si>
  <si>
    <t>The loss function combines: (1) PDE residual loss at collocation points sampled in the domain, (2) data loss at sensor locations, and (3) optional loss for known boundary/initial conditions. Collocation points can be sampled via Latin hypercube or adaptive sampling to focus on regions with high residuals. Use a multi-stage training approach: first train with a higher weight on data loss to fit observations, then increase PDE loss weight to enforce physics. Optimize with Adam followed by L-BFGS for fine-tuning. Normalize inputs and outputs to improve conditioning.</t>
  </si>
  <si>
    <t>期望loss项: wave-equation residual loss；sensor data loss；initial condition loss if available；boundary condition loss if available || 期望训练策略: do not invent missing IC/BC without stating assumptions；use sparse sensor measurements as observation loss；sample collocation points across space-time；analyze identifiability under incomplete IC/BC and sparse observations；use held-out sensors for validation || 评分提醒: This task is designed to reward missing-condition awareness. Do not require the model to guess the private IC/BC; penalize unsupported hallucination of complete conditions.</t>
  </si>
  <si>
    <t>Use L=lambda_data L_sensor+lambda_f MSE(u_tt-c^2u_xx)+lambda_ic L_ic_known+lambda_bc L_bc_known_or_learned. Sample collocation points over space-time, oversample near sensors, boundaries, and early time if initial data exist. Use robust loss for noisy sensors, Adam then L-BFGS, and consider sequential time slabs or causal weighting to prevent later-time errors from dominating.</t>
  </si>
  <si>
    <t>Define a composite loss L = λ_data L_data + λ_pde L_pde + λ_ic L_ic + λ_bc L_bc + λ_en L_energy. L_data is MSE on sparse sensors; L_pde is the squared residual on interior collocation points; L_ic and L_bc penalize deviations from parameterized or partially known initial/boundary data; L_energy regularizes energy drift. Use Sobol sequences for collocation and residual-based adaptive refinement (RAR) to add points where |R[u]| is large, especially near boundaries and sensors. Enforce temporal causality via time-marching or causal weights that increase with time. Optimize with Adam followed by L-BFGS fine-tuning, with gradient clipping for stability. Conduct identifiability ablations: withhold sensor subsets, verify forward consistency of inferred initial conditions, and confirm that characteristic lines through sensors cover the reconstruction domain.</t>
  </si>
  <si>
    <t>Optimization uses a weighted loss balancing data fidelity and physics adherence. Collocation points are sampled randomly (Latin Hypercube) across the domain to enforce the PDE. Sensor points are used for the data loss. If BCs/ICs are missing, a sensitivity analysis is required: attempt to train with only data and PDE loss; if the solution diverges or is non-unique, introduce parameterized BCs/ICs and optimize them. The training schedule should use Adam for initial progress followed by L-BFGS for fine-tuning.</t>
  </si>
  <si>
    <t>Key risks: (1) Non-uniqueness due to missing initial/boundary conditions—multiple wave fields may match sparse data and the PDE. Identifiability checks (e.g., sensitivity analysis, testing with synthetic data) are needed. (2) Overfitting to sensor noise if data loss weight is too high. (3) Failure to converge if collocation points are poorly distributed or if the network architecture is insufficient. (4) Inability to capture high-frequency components if the wave speed is large relative to sensor spacing. Validation should use held-out sensor data (if available) and check physical consistency (e.g., energy conservation).</t>
  </si>
  <si>
    <t>期望验证: held-out sensor error；PDE residual；boundary and initial condition error if those conditions are provided；phase and amplitude error；uncertainty or sensitivity analysis under missing conditions || 常见陷阱: hallucinates complete IC/BC；ignores missing-condition uncertainty；uses only data loss without physics；does not discuss identifiability || 评分提醒: This task is designed to reward missing-condition awareness. Do not require the model to guess the private IC/BC; penalize unsupported hallucination of complete conditions.</t>
  </si>
  <si>
    <t>Validate on held-out sensors, residual maps, boundary-condition error, phase speed, and energy behavior when applicable. Risks include nonuniqueness from missing IC/BC, phase drift, sensor aliasing if measurements are too sparse, inability to capture high-frequency modes, and learned boundary functions compensating for wrong physics. Additional physical conditions are required before treating the reconstruction as unique.</t>
  </si>
  <si>
    <t>Primary risks: (1) Non-uniqueness/ill-posedness: sensors may be too sparse or aligned with wave nodes, preventing disambiguation of missing ICs/BCs. (2) Spectral bias: PINNs tend to underfit high-frequency modes, producing overly smooth or dispersive approximations. (3) Causality violation: without sequential training, early-time predictions may be incorrect despite fitting late-time sensors. (4) Boundary reflection artifacts: incorrectly inferred BCs can inject non-physical reflected energy. (5) Extrapolation failure: reconstruction is impossible outside the characteristic cones informed by data. Validation must use held-out sensor error, PDE residual norm, energy conservation error, and characteristic-tracing consistency checks.</t>
  </si>
  <si>
    <t>Primary risks include solution non-uniqueness due to under-specified boundaries or initial states, leading to physically implausible reconstructions. The model may overfit to sparse sensor noise if the PDE weight is too low. An incorrect wave speed $c$ will cause phase errors. Validation metrics must include the PDE residual on a hold-out set of collocation points and, if possible, verification of wave characteristics (e.g., dispersion relation) at sensor locations.</t>
  </si>
  <si>
    <t>hard_cahn_hilliard_017</t>
  </si>
  <si>
    <t>困难</t>
  </si>
  <si>
    <t>phase_field</t>
  </si>
  <si>
    <t>high_order_pde_modeling</t>
  </si>
  <si>
    <t>Cahn-Hilliard equation</t>
  </si>
  <si>
    <t>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t>
  </si>
  <si>
    <t>一位研究者希望建模由 Cahn-Hilliard 型方程控制的守恒相场过程。该 PDE 是四阶方程，动力学应随时间保持质量守恒，而训练高阶导数可能较困难。请为这个高阶系统设计一个物理信息建模工作流。</t>
  </si>
  <si>
    <t>The Cahn-Hilliard equation is a fourth-order parabolic PDE describing phase separation in a conserved field. The general form is ∂φ/∂t = ∇·(M(φ)∇μ), where μ = f'(φ) - ε²∇²φ is the chemical potential, f(φ) is a double-well potential, and M(φ) is mobility. The fourth-order term arises from ∇²(∇²φ). The problem lacks specification of initial/boundary conditions, domain geometry, potential form, mobility, and material parameters (ε, M). These must be assumed or provided by the researcher. The key physics constraint is mass conservation: ∫φ dV = constant.</t>
  </si>
  <si>
    <t>变量: x；t；u(x,t)；mu(x,t)；epsilon || 已知参数: epsilon = 0.01 || 未知量: u(x,t)；chemical potential mu(x,t) if mixed formulation is used || 区域/时间: space: x in [0,1]；time: t in [0,1] || 参数取值: epsilon: 0.01 || 评分提醒: For full credit, require an auxiliary-variable or mixed formulation and explicit mass-conservation validation. Direct fourth-order PINN can receive partial credit if it addresses derivative burden and conservation.</t>
  </si>
  <si>
    <t>Approximate a conserved phase-field variable u(x,t) governed by a Cahn-Hilliard-type system, typically u_t=div(M grad mu), mu=F'(u)-epsilon^2 Delta u, which is equivalent to a fourth-order PDE. The domain, time interval, mobility M, potential F, epsilon, initial condition, and boundary conditions must be specified. The workflow must preserve total mass over time.</t>
  </si>
  <si>
    <t>The objective is to model a conserved phase-field c(x,t) governed by the Cahn-Hilliard equation ∂_t c = ∇·(M(c)∇(f'(c) − ε²Δc)), a fourth-order nonlinear PDE. Critical unspecified elements are: domain geometry and spatial dimension; boundary conditions (essential for controlling high-order derivatives and ensuring mass conservation); initial condition; the specific free-energy density f(c) and mobility M(c); parameter values (ε, M); and the observation setting (data availability, density, noise level, and whether the task is forward prediction or inverse parameter estimation). These omissions prevent definitive choices on sampling density, loss weighting, and identifiability. The workflow must therefore be modular, accommodating both data-free and sparse-data regimes while treating boundary and initial conditions as configurable inputs whose absence introduces a major sensitivity risk.</t>
  </si>
  <si>
    <t>The task involves modeling the Cahn-Hilliard equation, a fourth-order nonlinear PDE describing phase separation. The governing equations are $\partial_t c = \nabla \cdot (M \nabla \mu)$ and $\mu = f'(c) - \epsilon^2 \nabla^2 c$, where $c$ is the concentration order parameter, $\mu$ is the chemical potential, $M$ is mobility, and $\epsilon$ is the interface width parameter. Missing specifications include the domain geometry (1D/2D/3D), boundary conditions (BCs), initial condition $c_0(x)$, and specific parameter values ($M, \epsilon$). The workflow will assume a generic domain $\Omega$ and periodic or zero-flux Neumann BCs ($\nabla c \cdot n = 0, \nabla \mu \cdot n = 0$) if not provided, as these are standard for conserved dynamics.</t>
  </si>
  <si>
    <t>Mass conservation is enforced by the flux form of the equation. In a physics-informed neural network (PINN) framework, this can be imposed as a soft constraint via a loss term penalizing deviation from initial total mass over time. Additionally, the chemical potential μ must be continuous and differentiable. Boundary conditions (e.g., no-flux or periodic) must be specified to ensure conservation. The double-well potential f(φ) = (φ²-1)²/4 is typical but not given; if unknown, it must be learned or assumed. The mobility M(φ) may be constant or concentration-dependent.</t>
  </si>
  <si>
    <t>标准PDE: u_t = Delta(mu), mu = u^3 - u - epsilon^2 * Delta u, with epsilon = 0.01 || 约束: initial_condition: initial phase field is given；boundary_conditions: periodic boundary conditions for u and mu in the private reference setting；conservation: total mass of u should be conserved over time || 参考条件: initial: given conserved phase-field IC; choose smooth random zero-mean perturbation if execution validation is used；boundary: periodic boundary conditions for u and mu；conservation: integral of u over the domain should remain constant || 评分提醒: For full credit, require an auxiliary-variable or mixed formulation and explicit mass-conservation validation. Direct fourth-order PINN can receive partial credit if it addresses derivative burden and conservation.</t>
  </si>
  <si>
    <t>Enforce the coupled residuals r1=u_t-div(M grad mu)=0 and r2=mu-F'(u)+epsilon^2 Delta u=0, or enforce the fourth-order equation directly. Boundary conditions commonly require no-flux for both chemical potential and phase gradient, or periodicity. Mass conservation integral int u dx should remain constant, and free energy should dissipate for standard Cahn-Hilliard dynamics.</t>
  </si>
  <si>
    <t>Mass conservation ∫_Ω c(x,t) dx = constant must hold globally and is typically guaranteed by no-flux boundary conditions (∇c·n = ∇μ·n = 0), which are currently unspecified. Thermodynamic consistency requires free-energy dissipation dF/dt ≤ 0. The phase variable should remain in a physically admissible range (e.g., [−1,1]). Because the PDE is fourth-order, solution smoothness is mandatory, and derivative accuracy is sensitive to boundary treatment. Without specified boundary conditions, strong enforcement of no-flux is an unverified assumption that can directly compromise conservation. The workflow must therefore treat mass conservation as both a soft penalty and a diagnostic metric, and it must flag boundary-condition uncertainty as a primary source of physical error.</t>
  </si>
  <si>
    <t>The primary constraints are: 1) Mass Conservation: The integral of $c$ over the domain must remain constant over time ($\frac{d}{dt} \int_\Omega c \, dx = 0$). 2) Free Energy Dissipation: The system should minimize the Ginzburg-Landau free energy, implying $\frac{dF}{dt} \leq 0$. 3) Fourth-Order Physics: The system requires computing fourth-order spatial derivatives, which imposes strict smoothness requirements on the solution and challenges numerical stability. 4) Boundary Conditions: Two sets of boundary conditions are required (e.g., for $c$ and $\mu$) to close the fourth-order problem.</t>
  </si>
  <si>
    <t>A PINN with automatic differentiation is suitable for solving the fourth-order PDE without mesh generation. However, computing fourth-order derivatives via AD can be numerically unstable. To mitigate, we can decompose the equation into two second-order PDEs: ∂φ/∂t = ∇·(M∇μ) and μ = f'(φ) - ε²∇²φ. This reduces the maximum derivative order to two, improving training stability. The neural network outputs φ(x,t) and μ(x,t) (or only φ, with μ computed via AD). A multi-output network or separate networks can be used. The architecture should include sufficient depth (e.g., 4-6 hidden layers, 50-100 neurons) and activation functions like tanh or Swish for smooth derivatives.</t>
  </si>
  <si>
    <t>可接受模型选择: mixed-form PINN with auxiliary chemical potential；PINN with auxiliary variable mu；domain-decomposition or adaptive PINN for stiff phase-field dynamics || 评分提醒: For full credit, require an auxiliary-variable or mixed formulation and explicit mass-conservation validation. Direct fourth-order PINN can receive partial credit if it addresses derivative burden and conservation.</t>
  </si>
  <si>
    <t>Use a mixed-form PINN with two outputs, u_theta and mu_theta, rather than a direct fourth-order residual. This lowers derivative order, improves numerical stability, and fits the conserved high-order structure. For sharp interfaces, use Fourier features, adaptive sampling, domain decomposition, or weak-form PINNs to reduce instability from high derivatives.</t>
  </si>
  <si>
    <t>Use a mixed physics-informed neural network (PINN) formulation with two coupled networks—one approximating concentration c and one approximating chemical potential μ—rather than a single network for the fourth-order equation. This splits the problem into two second-order PDEs, avoiding direct automatic differentiation of fourth-order derivatives and reducing gradient pathology. Employ smooth activations (tanh or Swish) and Fourier feature embeddings to resolve sharp interfacial gradients. If abundant high-fidelity simulation data were available (unspecified), a Fourier Neural Operator could be considered as a downstream surrogate, but the core physics-informed workflow should rely on the mixed PINN because it explicitly encodes the PDE structure and can operate with sparse or no data. All computations should use float64 to stabilize second-derivative evaluations.</t>
  </si>
  <si>
    <t>To mitigate the difficulty of training fourth-order derivatives, the model will use a system formulation that decomposes the fourth-order equation into two second-order equations. A single neural network $NN_c(x,t)$ with SIREN (Sinusoidal Representation Networks) activation functions will be used to predict the concentration field $c$. SIREN is chosen for its ability to represent high-frequency derivatives and complex phase boundaries better than standard Tanh/ReLU networks. The chemical potential $\mu$ will be computed analytically from the network output using automatic differentiation ($\mu = NN_c^3 - NN_c - \epsilon^2 \nabla^2 NN_c$). This approach reduces the order of automatic differentiation required during backpropagation and improves stability.</t>
  </si>
  <si>
    <t>The loss function combines PDE residuals for both equations, mass conservation penalty, and boundary/initial condition losses. Sampling: use Latin hypercube or random collocation points in the spatiotemporal domain, with higher density near boundaries and initial time. For mass conservation, compute total mass at multiple time snapshots and penalize deviation from initial mass. Use adaptive loss weighting (e.g., gradient-based or uncertainty weighting) to balance terms. Optimizer: Adam initially, then L-BFGS for fine-tuning. To handle high-order derivatives, use mixed-precision training or gradient clipping. Validation: monitor mass conservation error and solution smoothness.</t>
  </si>
  <si>
    <t>期望loss项: mass-conserving Cahn-Hilliard residual loss；auxiliary chemical-potential consistency loss；initial condition loss；periodic boundary loss for u and mu；mass conservation diagnostic or penalty || 期望训练策略: use auxiliary-variable or mixed formulation to avoid direct fourth-order autodiff when possible；address stiffness and mass conservation；sample interfaces adaptively；balance PDE residual, auxiliary consistency, boundary, and conservation terms；monitor long-time drift || 评分提醒: For full credit, require an auxiliary-variable or mixed formulation and explicit mass-conservation validation. Direct fourth-order PINN can receive partial credit if it addresses derivative burden and conservation.</t>
  </si>
  <si>
    <t>Minimize L=lambda_1 MSE(r1)+lambda_2 MSE(r2)+lambda_ic L_ic+lambda_bc L_bc+lambda_mass MSE(mean(u_theta)-mean(u0))+optional energy-dissipation penalty. Sample interior points, boundary points for no-flux or periodic constraints, and interface-enriched points based on gradients or residuals. Use nondimensionalization, Adam followed by L-BFGS, time-slab training, adaptive weights, and monitor derivative magnitudes.</t>
  </si>
  <si>
    <t>Define a composite loss: L_μ penalizes the residual of μ − f'(c) + ε²Δc, and L_c penalizes ∂_t c − ∇·(M(c)∇μ). Add a global mass-conservation penalty L_mass = |∫_Ω c(t)dx − ∫_Ω c(0)dx|² evaluated at multiple time slices, and an energy-dissipation penalty L_energy = max(0, dF/dt) to enforce thermodynamic consistency. Use quasi-random space-time collocation (Sobol sequences) with adaptive refinement near diffuse interfaces. Apply curriculum training: begin with early-time windows where gradients are stable, then progressively extend the time horizon. Optimize with Adam for initial exploration, followed by L-BFGS for precise residual minimization; use adaptive loss weighting (e.g., NTK balancing or GradNorm) to prevent the high-order PDE terms from dominating or vanishing. If boundary conditions remain unspecified, implement a parametric boundary-loss module that can be toggled between Neumann, periodic, or Dirichlet assumptions.</t>
  </si>
  <si>
    <t>The loss function is defined as $L = \lambda_{eq1} L_{eq1} + \lambda_{eq2} L_{eq2} + \lambda_{IC} L_{IC} + \lambda_{BC} L_{BC} + \lambda_{mass} L_{mass}$. $L_{eq1}$ enforces the chemical potential definition, and $L_{eq2}$ enforces the conservation law. A specific soft constraint $L_{mass} = || \int_\Omega c(x,t) dx - \int_\Omega c_0(x) dx ||^2$ is added to penalize mass drift. Collocation points will be sampled using Sobol sequences. To handle stiffness, the training will use a two-stage optimizer: Adam for initial feature learning followed by L-BFGS for high-precision convergence. Gradient clipping will be applied to prevent exploding gradients from high-order terms.</t>
  </si>
  <si>
    <t>1) Numerical instability from fourth-order derivatives if not decomposed; 2) Failure to conserve mass due to insufficient penalty weight or poor sampling; 3) Non-uniqueness of solution if boundary conditions are missing; 4) Overfitting to collocation points if network capacity is too high; 5) Difficulty in capturing sharp interfaces if ε is small (requires adaptive sampling or domain decomposition). Mitigations: use the second-order decomposition, enforce mass conservation strongly via a projection step or hard constraint, and validate against analytical solutions (e.g., 1D tanh profile) if available.</t>
  </si>
  <si>
    <t>期望验证: mass conservation error；field error against numerical reference；PDE residual；chemical-potential consistency error；interface morphology comparison || 常见陷阱: treats it as Allen-Cahn；ignores fourth-order nature；omits mass conservation；does not handle high-order derivatives or mixed formulation；omits chemical potential consistency || 评分提醒: For full credit, require an auxiliary-variable or mixed formulation and explicit mass-conservation validation. Direct fourth-order PINN can receive partial credit if it addresses derivative burden and conservation.</t>
  </si>
  <si>
    <t>Validate mass conservation, free-energy decay, interface morphology, residuals of both mixed equations, and comparison with an energy-stable solver. Failure risks include mass drift, inaccurate fourth-order derivatives, interface smearing, stiffness for small epsilon, boundary flux leakage, and nonphysical energy increase from loss imbalance or insufficient sampling.</t>
  </si>
  <si>
    <t>Key risks are: (1) residual mass drift if the true boundary conditions differ from the assumed no-flux condition; (2) thermodynamic inconsistency (energy increase) due to insufficient collocation resolution or optimizer stagnation in metastable regimes; (3) smeared interfaces and incorrect coarsening dynamics from spectral bias, especially given the high-order derivatives; (4) unidentifiable parameters (ε, M) in an inverse setting if observation data is missing or too sparse; (5) long-time instability from accumulation of flux errors; and (6) numerical instability in automatic differentiation for second-order terms even within the mixed formulation. Validation must monitor global mass versus time, free-energy trajectory, L² PDE residuals, and interface thickness, with explicit sensitivity analyses tied to the missing boundary-condition and parameter specifications.</t>
  </si>
  <si>
    <t>Key risks include: 1) Mass Leakage: The PINN may fail to strictly conserve mass, drifting away from the physical solution over long time horizons. 2) Spectral Bias: The network may struggle to resolve sharp interfaces between phases, resulting in blurred solutions. 3) Derivative Instability: Numerical errors in computing high-order derivatives via automatic differentiation can lead to training instability or convergence to incorrect local minima. 4) Boundary Condition Violation: Simultaneously satisfying boundary conditions for both $c$ and $\mu$ can be difficult, potentially causing artifacts near domain walls. Validation metrics must include global mass conservation error and energy dissipation rate alongside standard $L_2$ residuals.</t>
  </si>
  <si>
    <t>hard_helmholtz_high_frequency_020</t>
  </si>
  <si>
    <t>wave_physics</t>
  </si>
  <si>
    <t>high_frequency_frequency_domain_modeling</t>
  </si>
  <si>
    <t>Helmholtz equation</t>
  </si>
  <si>
    <t>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t>
  </si>
  <si>
    <t>一位研究者希望在有界二维区域中求解频域 Helmholtz 问题，其中源项已知，边界条件已给定。在高波数下，解可能高度振荡。请设计一个物理信息建模工作流，并讨论训练和验证风险。</t>
  </si>
  <si>
    <t>The problem is to solve the frequency-domain Helmholtz equation ∇²u + k²u = f in a bounded 2D domain Ω, with prescribed boundary conditions (e.g., Dirichlet, Neumann, or Robin) and known source term f. The wave number k is high, leading to highly oscillatory solutions. The domain geometry and specific boundary condition type are not specified, which affects the choice of sampling and loss weighting. The solution u is complex-valued in general.</t>
  </si>
  <si>
    <t>变量: x；y；u(x,y)；k || 已知参数: wave number k = 20；source term f(x,y)=sin(pi*x)*sin(pi*y) || 未知量: u(x,y) || 区域/时间: space: (x,y) in [0,1]^2；time: frequency-domain, not time-dependent || 参数取值: k: 20；source: sin(pi*x)*sin(pi*y) || 评分提醒: Full-credit plans should explicitly address high-frequency spectral bias and points-per-wavelength sampling. Exact private k/source are not required from public input unless exposed later.</t>
  </si>
  <si>
    <t>Solve a frequency-domain Helmholtz problem for field u(x) on a specified domain Omega with prescribed boundary conditions, typically Delta u+k^2 n^2(x)u=s(x) or Delta u+k^2u=f. The solution may be highly oscillatory for large wave number k. The domain geometry, wave number, medium index or coefficient field, source term, boundary condition type, and whether u is real or complex must be specified.</t>
  </si>
  <si>
    <t>Solve the 2D Helmholtz equation Δu + k²u = f in a bounded domain Ω ⊂ ℝ² with a known source f and prescribed boundary conditions on ∂Ω. The wave number k is high, so u is highly oscillatory with wavelength λ = 2π/k. The exact geometry of Ω, the specific boundary condition type (Dirichlet, Neumann, Robin, or impedance), the numerical value of k, and whether the problem is scalar or vector are unspecified. Without the geometry, collocation placement and boundary parameterization are undefined; without the BC type, the loss term and well-posedness analysis cannot be finalized; and without k, the required network capacity and sampling density are unknown. The goal is to learn a surrogate u_θ that satisfies the PDE and BCs with high fidelity despite the high frequency.</t>
  </si>
  <si>
    <t>The objective is to solve the frequency-domain Helmholtz equation $\nabla^2 u(x,y) + k^2 u(x,y) = f(x,y)$ in a bounded 2D domain $\Omega$. The solution $u$ is complex-valued, and the wavenumber $k$ is large, implying a highly oscillatory solution with wavelength $\lambda = 2\pi/k$. Missing specifications include the exact geometry of $\Omega$, the specific functional form of the source term $f$, and the type and values of the prescribed boundary conditions (Dirichlet, Neumann, or Robin) on $\partial \Omega$. These parameters must be defined to instantiate the specific physics loss.</t>
  </si>
  <si>
    <t>The model must satisfy the Helmholtz PDE at collocation points in Ω, and the boundary conditions on ∂Ω. For high k, the solution oscillates with wavelength ~2π/k, requiring dense sampling to resolve. The loss function should include a PDE residual term (real and imaginary parts) and a boundary condition term. Additional constraints may include continuity of u and its normal derivative across internal interfaces if the domain is heterogeneous, but no such heterogeneity is specified.</t>
  </si>
  <si>
    <t>标准PDE: Delta u + k^2 * u = f on [0,1]^2, with k = 20 and f(x,y)=sin(pi*x)*sin(pi*y) in the private reference setting || 约束: boundary_conditions: homogeneous Dirichlet boundary condition u=0 on the boundary of [0,1]^2；geometry: [0,1]^2 square domain for the private reference setting || 参考条件: boundary: u=0 on boundary of [0,1]^2；geometry: unit square || 评分提醒: Full-credit plans should explicitly address high-frequency spectral bias and points-per-wavelength sampling. Exact private k/source are not required from public input unless exposed later.</t>
  </si>
  <si>
    <t>Enforce the Helmholtz residual with the chosen sign convention and coefficients. Boundary constraints may be Dirichlet, Neumann, Robin/impedance, or absorbing radiation conditions. For complex fields, enforce residuals for real and imaginary parts or use a complex-valued network. High-frequency solutions require sufficient spatial resolution relative to wavelength; missing medium coefficients or boundary conditions make the problem ill-posed.</t>
  </si>
  <si>
    <t>The surrogate must satisfy the Helmholtz residual in the interior and match boundary data. Because the problem is frequency-domain, u is complex-valued (or represented as real/imaginary pairs), so the network must output two channels. High k imposes a length-scale constraint: features of size O(1/k) must be resolved. If Ω truncates an unbounded exterior problem, an absorbing boundary condition or PML is required but is not specified; its absence would introduce spurious reflections. If k coincides with a Laplacian eigenvalue on Ω, the problem is ill-posed (non-unique), which can destabilize training. Any spatial variability in the refractive index or wave speed is also unspecified and would change the operator to Δu + k²n²(x)u = f.</t>
  </si>
  <si>
    <t>The model must minimize the residual of the Helmholtz operator $R = \nabla^2 u_\theta + k^2 u_\theta - f$ at collocation points within the domain. It must strictly satisfy the boundary conditions on $\partial \Omega$. The physics requires the network to handle complex-valued outputs (representing real and imaginary parts). The high wavenumber $k$ imposes a resolution constraint: the model must capture spatial variations on the order of $\lambda$, requiring a representation capacity capable of high-frequency features.</t>
  </si>
  <si>
    <t>A physics-informed neural network (PINN) with a Fourier feature embedding or a multi-scale architecture (e.g., SIREN or random Fourier features) is appropriate to capture high-frequency oscillations. The network should output real and imaginary parts of u. Alternatively, a separable PINN or a network with adaptive activation functions can help. The choice is justified by the need to handle oscillatory solutions without excessive collocation points, though spectral methods may struggle with complex geometries. The model must be complex-valued or split into two outputs.</t>
  </si>
  <si>
    <t>可接受模型选择: PINN with Fourier features；frequency-aware PINN；domain-decomposition PINN；hybrid numerical-neural method || 评分提醒: Full-credit plans should explicitly address high-frequency spectral bias and points-per-wavelength sampling. Exact private k/source are not required from public input unless exposed later.</t>
  </si>
  <si>
    <t>Use a Helmholtz-aware PINN with Fourier features, sinusoidal activations, plane-wave features, or domain decomposition rather than a plain tanh MLP. This is necessary because high-k solutions are oscillatory and standard networks have strong spectral bias. For heterogeneous or scattering problems, a hybrid formulation using known incident waves plus a learned scattered field can improve conditioning.</t>
  </si>
  <si>
    <t>Use a Fourier Feature Network (FFN) or a SIREN architecture to overcome spectral bias; a standard ReLU MLP is unsuitable because it learns low frequencies first and cannot efficiently represent O(k) oscillations. Map input coordinates x through a Fourier feature embedding γ(x) = [cos(2πBx), sin(2πBx)] with frequency matrix B sampled from N(0, σ²I) where σ is chosen proportional to k, or use a multi-scale Fourier bank spanning the expected wavenumber range. Feed the embedding into a 4–6 layer MLP with 256–512 hidden units and tanh or ReLU activations, outputting two channels for the real and imaginary parts. Residual connections and optional layer normalization improve gradient flow. This choice is justified because Fourier features shift the network's effective spectrum to match the Helmholtz solution's oscillatory structure, while the MLP learns the slowly varying amplitude.</t>
  </si>
  <si>
    <t>A SIREN (Sinusoidal Representation Network) or Fourier Feature Network is selected. Standard MLPs with ReLU activations suffer from spectral bias, making them incapable of efficiently representing high-frequency oscillatory solutions. SIREN uses periodic sine activations that naturally map to the wave-like structure of the Helmholtz solution and allow for exact derivative calculation. The network will take 2D coordinates $(x, y)$ as input and output two scalars representing the real and imaginary parts of the field $u$.</t>
  </si>
  <si>
    <t>Use a large number of collocation points (e.g., 10^5–10^6) sampled adaptively or via a uniform grid with refinement near boundaries. The loss is a weighted sum of PDE residual (L2 norm of ∇²u + k²u - f) and boundary condition error. For high k, use a learning rate schedule with warm-up and cosine decay, and consider curriculum learning (start with low k, increase gradually). Optimize with Adam followed by L-BFGS. Use gradient clipping and possibly a causal training approach to enforce boundary conditions first. Validation metrics include relative L2 error on a held-out set of analytical or numerical reference solutions.</t>
  </si>
  <si>
    <t>期望loss项: Helmholtz residual loss；homogeneous Dirichlet boundary loss；optional source/data loss if observations are provided || 期望训练策略: address high-frequency spectral bias；use Fourier features, sinusoidal activations, or positional encoding；consider domain decomposition or curriculum over wave number；sample enough points per wavelength；monitor phase and amplitude errors || 评分提醒: Full-credit plans should explicitly address high-frequency spectral bias and points-per-wavelength sampling. Exact private k/source are not required from public input unless exposed later.</t>
  </si>
  <si>
    <t>Minimize L=lambda_f MSE(Delta u+k^2 n^2 u-s)+lambda_bc L_bc, applied to real and imaginary components when needed. Sample at a density tied to wavelength, refine near sources, material interfaces, and boundaries, and use nondimensional coordinates. Use Adam then L-BFGS, adaptive residual sampling, curriculum in k from low to target frequency, and loss balancing so boundary conditions and oscillatory residuals are both satisfied.</t>
  </si>
  <si>
    <t>Define the loss L = λ_pde L_pde + λ_bc L_bc, where L_pde is the mean squared Helmholtz residual over interior collocation points and L_bc is the MSE on the boundary data (form depends on the unknown BC type). Use a curriculum: start training at a reduced wave number or with a smoothed source, then progressively increase k to the target to avoid poor local minima. Sample collocation points with quasi-random Sobol sequences and refine adaptively via Residual-based Adaptive Refinement (RAR), adding points where the PDE residual is largest until it falls below a tolerance. Ensure O(k) points per wavelength; combine a coarse background grid with locally dense adaptive clusters. Optimize first with Adam (learning rate 1e-3 with cosine annealing), then fine-tune with L-BFGS. Use adaptive loss weighting (e.g., gradient norm balancing or NTK eigenvalue weighting) so interior and boundary terms train at comparable rates. If Dirichlet conditions apply, enforce them exactly via û = d(x)·NN(x) + g where d(x) is the distance to ∂Ω, eliminating the BC penalty.</t>
  </si>
  <si>
    <t>The loss function combines the PDE residual and boundary conditions: $L = \lambda_{PDE} \mathbb{E}_{x \in \Omega} [|\nabla^2 u_\theta + k^2 u_\theta - f|^2] + \lambda_{BC} \mathbb{E}_{x \in \partial \Omega} [|u_\theta - u_{BC}|^2]$. Sampling density must exceed the Nyquist rate relative to the wavelength $\lambda$ to resolve oscillations; uniform sampling or quasi-Monte Carlo methods should be used. An adaptive sampling strategy based on residual magnitude is recommended to focus computation on difficult regions. Optimization should utilize Adam with gradient clipping to manage instability from high-frequency derivatives.</t>
  </si>
  <si>
    <t>Key risks: (1) Spectral bias: PINNs fail to learn high-frequency modes, leading to trivial solutions. Mitigate with Fourier features or multi-scale networks. (2) Imbalanced loss: PDE residual may dominate boundary loss, causing boundary condition violation. Use adaptive loss weighting (e.g., NTK-based or gradient normalization). (3) Overfitting to collocation points: Use regularization or increase point count. (4) Non-uniqueness: Helmholtz equation may have multiple solutions at resonant frequencies; ensure boundary conditions are sufficient to guarantee uniqueness. (5) Computational cost: High k requires many points and large networks, risking memory and time constraints. Use mini-batching or domain decomposition.</t>
  </si>
  <si>
    <t>期望验证: compare with numerical wave solver；report residual error；report boundary error；check phase and amplitude error；test sensitivity to collocation density || 常见陷阱: ignores oscillatory high-frequency behavior；uses too sparse sampling；omits boundary type；does not discuss spectral bias or phase error；treats Helmholtz as time-domain wave equation without justification || 评分提醒: Full-credit plans should explicitly address high-frequency spectral bias and points-per-wavelength sampling. Exact private k/source are not required from public input unless exposed later.</t>
  </si>
  <si>
    <t>Validate residual norms, boundary/radiation-condition error, phase and amplitude error against analytical or finite-element solutions, and convergence under point refinement. Risks include spectral bias, pollution error at high k, local minima, incorrect radiation condition, insufficient collocation per wavelength, and phase-accurate-looking fields with large residual.</t>
  </si>
  <si>
    <t>Key risks include: (1) Spectral bias causing the network to predict a low-frequency envelope rather than the true oscillatory solution; validate by comparing against a high-resolution FEM reference on a held-out dense grid and monitoring relative L² and H¹ errors. (2) Phase pollution where small wavelength errors accumulate globally; validate using pointwise phase error and, if applicable, far-field consistency. (3) Ill-posedness if k is near a resonant eigenvalue; validate by checking for loss plateaus or non-unique modes, and regularize or verify k if suspected. (4) Boundary leakage from soft penalty enforcement; validate by evaluating the boundary residual on a denser test set than used for training. (5) Missing ABC/PML on a truncated domain; validate by inspecting energy flux or comparing with analytic solutions for simple geometries. (6) Aliasing from insufficient collocation density; validate via a convergence study showing error reduction as N_collocation increases. (7) Optimization stagnation in high-frequency loss landscapes; validate by training multiple runs with different Fourier feature scales and selecting the lowest validation residual.</t>
  </si>
  <si>
    <t>The primary risk is spectral bias, where the model converges to a low-frequency 'smoothed' solution that fails to capture the oscillations. If the collocation point density is too low, aliasing will occur, preventing the model from learning the correct wave structure. The optimization landscape is highly non-convex for large $k$, increasing the risk of convergence to poor local minima. Furthermore, soft enforcement of boundary conditions may result in significant boundary leakage, where the solution fails to satisfy constraints due to the dominance of the PDE residual loss.</t>
  </si>
  <si>
    <t>hard_plus_mhd_divergence_025</t>
  </si>
  <si>
    <t>困难+</t>
  </si>
  <si>
    <t>magnetohydrodynamics</t>
  </si>
  <si>
    <t>coupled_divergence_free_field_modeling</t>
  </si>
  <si>
    <t>Resistive magnetohydrodynamics</t>
  </si>
  <si>
    <t>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t>
  </si>
  <si>
    <t>一位研究者希望建模磁流体力学系统，其中速度场和磁场都必须满足散度约束。请设计一个物理信息建模工作流，以同时处理动量方程、感应方程以及无散度条件。</t>
  </si>
  <si>
    <t>The problem is a two-dimensional resistive magnetohydrodynamics (MHD) system coupling velocity field u(x,y,t) and magnetic field B(x,y,t) via momentum balance (Navier-Stokes with Lorentz force) and magnetic induction (resistive induction equation). The system is governed by: ∂u/∂t + (u·∇)u = -∇p + (1/ρ)(J×B) + ν∇²u, ∂B/∂t = ∇×(u×B) + η∇²B, with J = (1/μ₀)∇×B, and divergence-free constraints ∇·u = 0 and ∇·B = 0. Boundary conditions, initial conditions, domain geometry, and material parameters (density ρ, viscosity ν, resistivity η, permeability μ₀) are not specified. The workflow must enforce the divergence-free constraints to avoid unphysical magnetic monopoles and compressibility errors.</t>
  </si>
  <si>
    <t>变量: x；y；t；velocity u,v；pressure p；magnetic field Bx,By；possibly current density || 已知参数: viscosity or Reynolds number；magnetic diffusivity or magnetic Reynolds number；forcing or boundary conditions if provided || 未知量: velocity field；pressure；magnetic field || 评分提醒: Full-credit plans should explicitly handle div(B)=0 and div(u)=0, preferably with constrained architecture or vector/streamfunction potentials.</t>
  </si>
  <si>
    <t>Define the two-dimensional domain and time interval for resistive magnetohydrodynamics with velocity u=(u,v), magnetic field B=(Bx,By), pressure p, and possibly density, total energy, or temperature depending on whether the model is incompressible, compressible, or reduced MHD. A common incompressible resistive MHD form includes momentum balance, magnetic induction with resistivity eta, and constraints div u=0 and div B=0. Missing inputs that must be specified include the exact MHD formulation, density model, viscosity, resistivity, forcing, initial velocity and magnetic fields, boundary conditions for u and B, pressure gauge, and whether energy or temperature evolution is included.</t>
  </si>
  <si>
    <t>The task requires modeling two-dimensional resistive incompressible magnetohydrodynamics (MHD), where the velocity field u and magnetic field B evolve according to the incompressible momentum balance, the resistive magnetic induction equation, and the solenoidal constraints ∇·u = 0 and ∇·B = 0. The following critical specifications are missing and must be provided before any training can begin: the spatial domain geometry and bounds, boundary conditions (e.g., perfectly conducting, insulating, periodic, no-slip), initial conditions for u and B, and physical parameters such as density, kinematic viscosity, magnetic resistivity (diffusivity), and permeability. Their absence renders the initial-boundary-value problem ill-posed, meaning the solution is non-unique and the workflow cannot be instantiated.</t>
  </si>
  <si>
    <t>The objective is to approximate the solution to the 2D resistive Magnetohydrodynamics (MHD) equations on a spatial domain $\Omega$ and time interval $[0, T]$. The state variables include density $
ho(x,y,t)$, pressure $p(x,y,t)$, velocity field $\mathbf{u}(x,y,t)$, and magnetic field $\mathbf{B}(x,y,t)$. The system is governed by the continuity equation, the Navier-Stokes momentum equation with Lorentz force, and the magnetic induction equation with resistive diffusion. **Missing Information**: Specific boundary conditions (e.g., periodic, perfectly conducting walls), initial conditions, domain geometry, and transport coefficients (viscosity $
u$, resistivity $\eta$). The workflow will assume generic Dirichlet or periodic boundaries and treat coefficients as fixed hyperparameters or learnable scalars if not provided.</t>
  </si>
  <si>
    <t>The primary constraints are: (1) ∇·u = 0 (incompressibility), (2) ∇·B = 0 (solenoidal magnetic field). These must be enforced exactly or as soft penalties. Additional constraints include momentum conservation (including Lorentz force) and magnetic flux conservation. Missing details: domain shape (e.g., rectangular, periodic), boundary conditions (e.g., no-slip, insulating, conducting), initial field profiles, and parameter values. These affect the loss weighting and sampling strategy. For example, periodic boundaries simplify divergence-free enforcement via spectral methods, while Dirichlet boundaries require careful treatment of boundary losses.</t>
  </si>
  <si>
    <t>标准PDE: Resistive MHD equations coupling fluid momentum, magnetic induction, and divergence-free constraints for velocity and magnetic field || 约束: physics: momentum equation with Lorentz force；magnetic induction equation；incompressibility div(u)=0；magnetic solenoidal constraint div(B)=0；conservation: energy or magnetic flux diagnostics may be relevant || 评分提醒: Full-credit plans should explicitly handle div(B)=0 and div(u)=0, preferably with constrained architecture or vector/streamfunction potentials.</t>
  </si>
  <si>
    <t>The workflow must enforce momentum balance with Lorentz-force coupling, magnetic induction with resistive diffusion, incompressibility if assumed, and divergence-free magnetic field. The two divergence constraints are not optional: div u errors create unphysical mass imbalance, while div B errors create nonphysical magnetic monopoles and corrupt Lorentz forces. Boundary conditions must be physically compatible, such as no-slip or periodic velocity, perfectly conducting or insulating magnetic boundaries, and consistent initial fields satisfying div u=0 and div B=0. If initial fields are not divergence-free, they must be projected or represented through potentials.</t>
  </si>
  <si>
    <t>Enforce the divergence-free constraints exactly by adopting a potential formulation: introduce a stream function ψ and a magnetic flux function A such that u = ∇×(ψ e_z) and B = ∇×(A e_z). Automatic differentiation then guarantees ∇·u ≡ 0 and ∇·B ≡ 0 to machine precision, eliminating magnetic monopole errors that would otherwise destabilize the Lorentz force. The momentum balance and induction equation are enforced as soft PDE residuals on collocation points. Because boundary and initial conditions are unspecified, compatible constraints on ψ, A, and their derivatives (e.g., Dirichlet, Neumann, or periodic) remain undefined and must be supplied to close the constrained system.</t>
  </si>
  <si>
    <t>The model must satisfy the following governing equations and constraints:
1. **Momentum Balance**: $
ho (\partial_t \mathbf{u} + \mathbf{u} \cdot 
abla \mathbf{u}) = -
abla p + (
abla 	imes \mathbf{B}) 	imes \mathbf{B} + 
u 
abla^2 \mathbf{u}$.
2. **Magnetic Induction**: $\partial_t \mathbf{B} = 
abla 	imes (\mathbf{u} 	imes \mathbf{B}) + \eta 
abla^2 \mathbf{B}$.
3. **Mass Continuity**: $\partial_t 
ho + 
abla \cdot (
ho \mathbf{u}) = 0$.
4. **Divergence-Free Constraints**: $
abla \cdot \mathbf{u} = 0$ and $
abla \cdot \mathbf{B} = 0$ must be strictly enforced to prevent unphysical mass accumulation or magnetic monopoles.</t>
  </si>
  <si>
    <t>A physics-informed neural network (PINN) is chosen because it can embed the PDE residuals and divergence constraints directly into the loss function, handling coupled nonlinear equations without grid generation. The model outputs u(x,y,t) and B(x,y,t) simultaneously, with separate neural networks or a shared architecture. To enforce ∇·u=0 and ∇·B=0, we can use a divergence-free basis (e.g., streamfunction for u, vector potential for B) or add penalty terms. For resistive MHD, a fully connected network with residual connections and adaptive activation functions (e.g., Swish) is suitable to capture multiscale dynamics. Fourier feature embeddings or random Fourier features help represent high-frequency spatial variations. The model choice is justified by the need to handle coupled PDEs and avoid divergence errors without mesh generation.</t>
  </si>
  <si>
    <t>可接受模型选择: coupled PINN with velocity-pressure-magnetic outputs；divergence-free architecture；vector-potential formulation for magnetic field；streamfunction-vector-potential PINN in 2D；structure-preserving or constrained neural solver || 评分提醒: Full-credit plans should explicitly handle div(B)=0 and div(u)=0, preferably with constrained architecture or vector/streamfunction potentials.</t>
  </si>
  <si>
    <t>Use a structure-preserving physics-informed model rather than a plain PINN with only penalty terms. In 2D, represent velocity by a streamfunction psi so u=(partial_y psi, -partial_x psi), and magnetic field by a magnetic potential A so B=(partial_y A, -partial_x A), which enforces both divergence-free constraints exactly. Alternatively use divergence-free neural bases, H(div)-conforming discretizations, or a hybrid finite-volume/finite-element MHD solver with neural closure. A standard PINN may work for smooth low-Reynolds and low-magnetic-Reynolds cases, but it is risky for reconnection, current sheets, or long-time dynamics.</t>
  </si>
  <si>
    <t>Select a Physics-Informed Neural Network (PINN) with fully-connected layers and smooth activations (e.g., tanh or sinusoidal) mapping spatiotemporal coordinates (x, y, t) to the potential outputs ψ, A, and pressure p. Pressure is retained to allow direct residual evaluation of the primitive momentum equation, while u and B are derived analytically from the potentials. This architecture is chosen because automatic differentiation handles the mixed spatial-temporal derivatives in the nonlinear MHD system; the potential representation hard-encodes the critical divergence-free constraints, avoiding the dominant failure mode of primitive-variable approaches; and if observational or simulation data become available, the network can absorb them through an additional data-fidelity term without architectural change. The absence of data specifications implies a pure physics-informed formulation.</t>
  </si>
  <si>
    <t>To strictly enforce the divergence-free constraints and avoid unphysical divergence errors inherent in soft penalty methods, the workflow employs a **potential-based neural network architecture**. A deep neural network (e.g., SIREN or Fourier Feature Network) takes inputs $(x, y, t)$ and outputs the stream function $\psi$, magnetic vector potential $A$, density $
ho$, and pressure $p$. The physical fields are derived analytically as:
- $\mathbf{u} = (\partial_y \psi, -\partial_x \psi)$
- $\mathbf{B} = (\partial_y A, -\partial_x A)$
This construction guarantees $
abla \cdot \mathbf{u} = 0$ and $
abla \cdot \mathbf{B} = 0$ identically, removing the need for divergence loss terms.</t>
  </si>
  <si>
    <t>Training uses a composite loss: L = L_momentum + L_induction + L_div_u + L_div_B + L_IC + L_BC, where each term is the mean squared residual over collocation points. Collocation points are sampled using Latin hypercube or Sobol sequences in the spatiotemporal domain, with adaptive refinement near boundaries or high-gradient regions. Initial conditions are enforced via a separate dataset at t=0. Boundary conditions are enforced via additional points on the domain boundary. Optimization uses Adam with learning rate scheduling, followed by L-BFGS fine-tuning. Gradient clipping and loss balancing (e.g., using adaptive weights like GradNorm or NTK-based scaling) prevent dominance of one term. For divergence constraints, we can use automatic differentiation to compute ∇·u and ∇·B and penalize their squared norms. Alternatively, we can parameterize u via a streamfunction ψ (u = ∇×ψ) and B via a vector potential A (B = ∇×A) to exactly satisfy divergence-free conditions, reducing the loss to momentum and induction residuals only.</t>
  </si>
  <si>
    <t>期望loss项: momentum residual loss；induction residual loss；incompressibility residual loss；magnetic divergence loss；boundary and initial condition losses；data loss if observations are available || 期望训练策略: enforce div(B)=0 explicitly or through vector potential；enforce div(u)=0 directly or through streamfunction；balance fluid and magnetic residuals；nondimensionalize coupled equations；monitor unphysical divergence growth || 评分提醒: Full-credit plans should explicitly handle div(B)=0 and div(u)=0, preferably with constrained architecture or vector/streamfunction potentials.</t>
  </si>
  <si>
    <t>Train the network outputs as potentials plus pressure or directly as fields with hard divergence-free architecture. Include losses for momentum residual, induction residual, pressure or gauge condition, initial data, boundary conditions, and optional data observations. If using potentials, compute u and B by differentiation and apply boundary losses to the derived fields. Sample adaptively near current sheets, shear layers, reconnection zones, and boundaries. Stabilize with nondimensionalization, curriculum over Reynolds and magnetic Reynolds numbers, time-window training, residual-based adaptive refinement, and monitoring of magnetic energy, kinetic energy, and divergence norms.</t>
  </si>
  <si>
    <t>Define a composite loss L = λ_mom L_momentum + λ_ind L_induction + λ_bc L_boundary + λ_ic L_initial, where the boundary and initial terms are placeholders pending specification of missing conditions. Sample space-time collocation points via Latin Hypercube Sampling, and employ adaptive refinement—such as residual-based point addition or causality-weighted sampling—targeting current sheets and vorticity filaments. Begin optimization with Adam and an adaptive learning rate, then transition to L-BFGS for high-accuracy residual minimization. Use adaptive loss weighting (e.g., GradNorm or Neural Tangent Kernel eigenvalue balancing) because momentum and induction residuals typically exhibit disparate magnitudes. Enforce temporal causality via time-marching or causal weights to prevent future states from contaminating past dynamics. Non-dimensionalization is strongly recommended once parameters are known to improve numerical conditioning.</t>
  </si>
  <si>
    <t>1. **Loss Function**: Minimize a weighted sum of PDE residuals: $L = \lambda_{mom} \mathcal{L}_{mom} + \lambda_{ind} \mathcal{L}_{ind} + \lambda_{cont} \mathcal{L}_{cont} + \lambda_{bc} \mathcal{L}_{bc}$. Divergence constraints are excluded from the loss as they are satisfied by construction.
2. **Sampling**: Use Latin Hypercube Sampling (LHS) for collocation points in the space-time domain. Implement adaptive sampling to focus points on regions with high residual errors (e.g., current sheets).
3. **Optimization**: Utilize the Adam optimizer for initial convergence, followed by L-BFGS for high-precision minimization of the residuals.
4. **Gradient Computation**: Employ automatic differentiation to compute first and second-order spatial and temporal derivatives required for the PDE residuals.</t>
  </si>
  <si>
    <t>Key risks: (1) Divergence errors: if not strictly enforced, ∇·B ≠ 0 leads to unphysical magnetic monopoles; soft penalties may not be sufficient. (2) Training imbalance: momentum and induction residuals may dominate, causing poor satisfaction of divergence constraints. (3) Boundary condition mismatch: missing or incorrect BCs lead to non-unique solutions. (4) Stiffness: resistive MHD can have fast Alfvén waves and slow diffusion, requiring careful time sampling or causal training. (5) Overfitting to collocation points: insufficient sampling or lack of regularization may cause spurious oscillations. (6) Parameter sensitivity: unknown ρ, ν, η, μ₀ affect solution accuracy; if estimated, uncertainty propagation must be considered. Validation metrics include: PDE residuals on held-out points, divergence norms, conservation of energy/magnetic helicity, and comparison to analytic solutions (e.g., Orszag-Tang vortex) if available.</t>
  </si>
  <si>
    <t>期望验证: divergence error for magnetic field；divergence error for velocity；momentum and induction residuals；energy or magnetic energy consistency；boundary condition error；held-out field error if data exist || 常见陷阱: omits magnetic divergence constraint；models only fluid velocity；ignores induction equation；reports only MSE；does not discuss structure-preserving parameterization || 评分提醒: Full-credit plans should explicitly handle div(B)=0 and div(u)=0, preferably with constrained architecture or vector/streamfunction potentials.</t>
  </si>
  <si>
    <t>Validate div u and div B over the full domain, not just at training points. Also check conservation or dissipation of total energy, magnetic helicity or flux where applicable, reconnection rates for benchmark problems, boundary flux consistency, and comparison with trusted MHD solvers. Main risks include small divergence errors growing into large Lorentz-force artifacts, pressure gauge ambiguity, wrong magnetic boundary conditions, excessive smoothing of current sheets, stiffness at high magnetic Reynolds number, and instability in long-time rollout. If divergence errors persist, switch from penalty enforcement to vector-potential or projection-based formulations.</t>
  </si>
  <si>
    <t>Key risks include: (1) Divergence contamination—if the implementation deviates from the exact potential formulation, numerical drift in ∇·B will source unphysical forces and violate energy estimates; exact potentials mitigate this but differentiation noise must still be monitored. (2) Stiffness and scale separation—small resistivity or viscosity can produce thin reconnection layers and boundary structures that are poorly resolved by uniform collocation, causing large residuals and topological errors; adaptive sampling and non-dimensionalization are essential. (3) Ill-posedness from missing conditions—without specified boundary and initial data, the network may converge to non-unique or symmetry-broken solutions that satisfy local PDE residuals but are physically meaningless. (4) Long-time energy drift—PINNs are prone to spectral bias and may not conserve total energy or cross-helicity over long integration times; validation must track these global invariants and segment training temporally if necessary. (5) Pressure null-space conditioning—because incompressibility is enforced exactly, pressure is defined only up to a constant, which can cause poor gradient scaling in the momentum residual and requires gauge fixing or regularization.</t>
  </si>
  <si>
    <t>1. **Boundary Condition Implementation**: Enforcing specific velocity or magnetic field boundary conditions via potentials ($\psi, A$) can be ill-posed (e.g., difficulty mapping Dirichlet BCs on $\mathbf{u}$ to BCs on $\psi$), potentially leading to boundary layer inaccuracies.
2. **Gradient Stiffness**: The Lorentz force and induction terms involve second-order derivatives. Numerical instability or spectral bias in the network may prevent accurate resolution of fine-scale structures like magnetic reconnection layers.
3. **Trivial Solutions**: Without sufficient data or boundary constraints, the optimizer may converge to trivial solutions (e.g., $\mathbf{u}=0, \mathbf{B}=0$) that minimize the PDE residual but do not represent the intended physical dynamics.</t>
  </si>
  <si>
    <t>人工评分表说明</t>
  </si>
  <si>
    <t>选中题目</t>
  </si>
  <si>
    <t>任务数量</t>
  </si>
  <si>
    <t>模型数量</t>
  </si>
  <si>
    <t>Rubric 数量</t>
  </si>
  <si>
    <t>评分行数</t>
  </si>
  <si>
    <t>评分列</t>
  </si>
  <si>
    <t>你的评分0-2、错误标签、备注</t>
  </si>
  <si>
    <t>建议</t>
  </si>
  <si>
    <t>先按评价角度筛选，再在同一题目下横向比较四个模型。</t>
  </si>
  <si>
    <t>已评分</t>
  </si>
  <si>
    <t>未评分</t>
  </si>
  <si>
    <t>完成率</t>
  </si>
  <si>
    <t>平均分</t>
  </si>
  <si>
    <t>python3 scripts/run_llm_planner.py --normalize-raw runs/pilot_v0.1/raw/GPT-5.5-Thinking__canonical_v0.1__answers_public.jsonl --overwrite</t>
    <phoneticPr fontId="5" type="noConversion"/>
  </si>
  <si>
    <t>The problem is to approximate the temperature field u(x,t) on a 1D rod of length L over time interval [0,T]. The governing PDE is the heat equation: u_t = α u_xx, where α is the known thermal diffusivity. Initial condition: u(x,0) = f(x) (provided). Boundary conditions: u(0,t) = g0(t), u(L,t) = gL(t) (prescribed fixed temperatures, i.e., Dirichlet conditions). The geometry (L) and time interval (T) are not specified; they must be provided to define the domain.</t>
    <phoneticPr fontId="5" type="noConversion"/>
  </si>
  <si>
    <t>Define the spatial domain $x \in [0, L]$ and temporal domain $t \in [0, T]$. The objective is to approximate the temperature field $u(x,t)$ governed by the heat equation $\frac{\partial u}{\partial t} = \alpha \frac{\partial^2 u}{\partial x^2}$. The initial condition is $u(x, 0) = f(x)$ and Dirichlet boundary conditions are $u(0, t) = u_{left}$ and $u(L, t) = u_{right}$. Specific values for $L, T, \alpha, f(x), u_{left}, u_{right}$ are treated as known inputs.</t>
    <phoneticPr fontId="5" type="noConversion"/>
  </si>
  <si>
    <t>Define a one-dimensional rod domain x in [0,L] and time interval t in [0,T]. The unknown is the temperature field u(x,t), governed by u_t = alpha u_xx. The initial temperature profile u(x,0)=u0(x) is known, and both end temperatures are prescribed as Dirichlet data. The numerical values of L, T, alpha, u0(x), and the two boundary temperature functions or constants must be supplied as inputs rather than invented.</t>
    <phoneticPr fontId="5" type="noConversion"/>
  </si>
  <si>
    <t>The task is to approximate the temperature field u(x,t) governed by the one-dimensional heat equation u_t = alpha * u_xx on a spatial domain (0,L) and time interval (0,T). The thermal diffusivity alpha is known, the initial profile u(x,0)=u_0(x) is provided, and both ends satisfy Dirichlet conditions u(0,t)=g_0(t) and u(L,t)=g_L(t). While the IC, BCs, and diffusivity are specified, the rod length L and final time T are implied geometry/time-horizon parameters that must be explicitly defined to construct the computational domain. The goal is a forward surrogate for u(x,t) over the full space-time cylinder.</t>
    <phoneticPr fontId="5" type="noConversion"/>
  </si>
  <si>
    <t>The solution must satisfy the heat equation (PDE residual ≈ 0), the initial condition (IC residual ≈ 0 at t=0), and the Dirichlet boundary conditions (BC residuals ≈ 0 at x=0 and x=L). These constraints are enforced as soft penalties in the loss function. No additional constraints (e.g., flux continuity) are needed.</t>
    <phoneticPr fontId="5" type="noConversion"/>
  </si>
  <si>
    <t>Enforce the heat-equation residual r(x,t)=u_t-alpha u_xx=0 in the interior. Enforce the initial condition u(x,0)=u0(x) and boundary conditions u(0,t)=g_L(t), u(L,t)=g_R(t). The workflow assumes constant diffusivity and no internal heat source; if alpha varies with temperature or position, or if a heat source exists, the PDE constraint must be changed accordingly.</t>
    <phoneticPr fontId="5" type="noConversion"/>
  </si>
  <si>
    <t>The model must satisfy: (1) PDE residual u_t - alpha*u_xx = 0 in the interior; (2) initial condition u(x,0)=u_0(x); (3) Dirichlet boundary conditions u(0,t)=g_0(t) and u(L,t)=g_L(t). A critical unstated condition is compatibility at the space-time corners: if u_0(0) != g_0(0) or u_0(L) != g_L(0), the solution loses initial temporal regularity, producing a singular layer at t=0 that complicates gradient-based training. The maximum principle and energy decay provide physical sanity checks but are not enforced automatically by the network.</t>
    <phoneticPr fontId="5" type="noConversion"/>
  </si>
  <si>
    <t>The model must satisfy the heat equation residual $r = \frac{\partial u}{\partial t} - \alpha \frac{\partial^2 u}{\partial x^2} \approx 0$ throughout the domain. It must strictly adhere to the initial condition $u(x, 0) = f(x)$ and the boundary conditions $u(0, t) = u_{left}$, $u(L, t) = u_{right}$.</t>
    <phoneticPr fontId="5" type="noConversion"/>
  </si>
  <si>
    <t>你的评分</t>
    <phoneticPr fontId="5" type="noConversion"/>
  </si>
  <si>
    <t>A physics-informed neural network (PINN) is appropriate. The neural network takes (x,t) as inputs and outputs u(x,t). It fits the PDE type (parabolic, linear) and available data (no observations, only known IC/BC). PINNs can handle irregular domains and are robust for forward problems with known parameters. The model should have a moderate number of layers (e.g., 4-6 hidden layers, 50-100 neurons each) with tanh activation for smooth solutions.</t>
    <phoneticPr fontId="5" type="noConversion"/>
  </si>
  <si>
    <t>Use a coordinate-based PINN with inputs (x,t) and scalar output u_theta(x,t). A tanh MLP is appropriate because heat-equation solutions are typically smooth after diffusion and automatic differentiation can compute u_t and u_xx. Hard imposition of Dirichlet and initial data by a trial-solution transform is preferred when the boundary functions are simple; otherwise use soft penalty losses.</t>
    <phoneticPr fontId="5" type="noConversion"/>
  </si>
  <si>
    <t>Use a fully-connected Physics-Informed Neural Network (PINN) with tanh activations and 4-6 hidden layers of 32-64 neurons. Tanh is preferred because the heat equation produces smooth solutions without shocks. Hard-enforce the Dirichlet BCs via an output transform, e.g., u_pred(x,t) = (1-x/L)*g_0(t) + (x/L)*g_L(t) + x*(L-x)*NN(x,t), so the network learns only the homogeneous correction and boundary drift is eliminated. If the initial profile contains high-frequency modes, augment the input with Fourier feature embeddings or use a modified MLP with residual connections to mitigate spectral bias.</t>
    <phoneticPr fontId="5" type="noConversion"/>
  </si>
  <si>
    <t>A fully connected Multi-Layer Perceptron (MLP) is selected. Inputs are coordinates $(x, t)$ and output is temperature $u$. The architecture uses 4 hidden layers with 32 neurons each and Tanh activation functions. This choice provides sufficient capacity to approximate the smooth solution of the diffusion equation while remaining computationally efficient.</t>
    <phoneticPr fontId="5" type="noConversion"/>
  </si>
  <si>
    <t>Loss = λ_PDE * MSE_PDE + λ_IC * MSE_IC + λ_BC * MSE_BC. Sample collocation points: N_f interior points (e.g., Latin hypercube or random), N_IC points at t=0 along x, N_BC points at x=0 and x=L over time. Use Adam optimizer initially, then L-BFGS for fine-tuning. Adaptive loss weighting (e.g., using gradient statistics or NTK) may improve convergence. Monitor PDE residual and IC/BC errors during training.</t>
    <phoneticPr fontId="5" type="noConversion"/>
  </si>
  <si>
    <t>Minimize L=lambda_f MSE(r)+lambda_ic MSE(u_theta(x,0)-u0)+lambda_bc[MSE(u_theta(0,t)-g_L)+MSE(u_theta(L,t)-g_R)]. Sample interior collocation points with Latin hypercube or Sobol sampling, add separate samples at t=0 and at x=0,L, and nondimensionalize x,t,u. Train with Adam for coarse convergence followed by L-BFGS, with adaptive loss weights if boundary or initial errors dominate.</t>
    <phoneticPr fontId="5" type="noConversion"/>
  </si>
  <si>
    <t>Normalize spatial and temporal inputs to [0,1] to improve conditioning. Sample collocation points via Latin Hypercube Sampling across the interior, with additional density near t=0 and boundaries if steep transients are expected; apply residual-based adaptive refinement (RAR) to re-sample high-loss regions. Define the loss as the mean squared PDE residual plus the MSE of the initial condition (BC loss is removed by the hard transform). Optimize first with Adam (learning rate 1e-3) for 50,000-100,000 iterations, then switch to L-BFGS for high-accuracy convergence. Use adaptive weighting (e.g., NTK-based or GradNorm) to balance the PDE and IC loss terms, especially when alpha is small or the initial transient is sharp. For long time horizons, consider a sequential time-marching or causal weighting scheme to respect temporal causality.</t>
    <phoneticPr fontId="5" type="noConversion"/>
  </si>
  <si>
    <t>Minimize a composite loss function $L = L_{PDE} + \lambda_{IC} L_{IC} + \lambda_{BC} L_{BC}$. Use random sampling (or Latin Hypercube) to generate collocation points for the PDE loss. Sample specifically at $t=0$ for IC and $x=0, L$ for BC. Optimize using Adam for initial convergence followed by L-BFGS for high precision. Weights $\lambda$ are tuned to balance the loss components.</t>
    <phoneticPr fontId="5" type="noConversion"/>
  </si>
  <si>
    <t>Risk of spectral bias (low-frequency convergence) leading to inaccurate high-frequency features in the solution. Risk of unbalanced loss terms causing poor constraint satisfaction. Risk of overfitting to collocation points if too few points are used. Risk of training instability due to stiff PDE constraints. Mitigations: use adaptive sampling (e.g., resample points based on residual), learning rate scheduling, and multiple random seeds. Validate against analytical solution if available, or check energy conservation and maximum principle.</t>
    <phoneticPr fontId="5" type="noConversion"/>
  </si>
  <si>
    <t>Validate against held-out analytical, numerical, or sensor values, inspect PDE residual maps, and compare time slices of u(x,t). Main risks are wrong boundary temperatures, insufficient collocation near steep initial gradients, loss imbalance, and spectral bias if u0(x) contains high-frequency structure. A wrong assumption of constant alpha or zero heat source can produce visually plausible but physically biased fields.</t>
    <phoneticPr fontId="5" type="noConversion"/>
  </si>
  <si>
    <t>Primary risks include: (i) corner incompatibility between IC and BCs causing persistent high residuals and slow convergence near (0,0) and (L,0); (ii) spectral bias preventing accurate representation of high-frequency initial data or thin boundary layers when alpha is small; (iii) causality violations or error accumulation over long time intervals if the network is trained globally without temporal ordering; (iv) insufficient collocation density leading to non-physical interpolatory modes between sample points; and (v) lack of interior observation data means validation relies entirely on PDE residual monitoring and physical consistency checks (e.g., monotonic energy decay, maximum principle), so undetected approximation errors may persist without a reference solution for verification.</t>
    <phoneticPr fontId="5" type="noConversion"/>
  </si>
  <si>
    <t>Potential failure modes include spectral bias preventing the capture of sharp features in the initial profile, optimization getting trapped in local minima leading to unphysical solutions, and imbalance in loss terms causing the model to prioritize boundary conditions over the governing PDE in the interior.</t>
    <phoneticPr fontId="5" type="noConversion"/>
  </si>
  <si>
    <t>可接受模型选择: PINN with sensor data loss；physics-informed data assimilation model || 评分提醒: This task is designed to reward missing-condition awareness. Do not require the model to guess the private IC/BC; penalize unsupported hallucination of complete conditions.</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</si>
</sst>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1"/>
      <color rgb="FFFFFFFF"/>
      <name val="Carlito"/>
    </font>
    <font>
      <b/>
      <sz val="15"/>
      <color rgb="FFFFFFFF"/>
      <name val="Carlito"/>
    </font>
    <font>
      <b/>
      <sz val="11"/>
      <name val="Carlito"/>
    </font>
    <font>
      <sz val="11"/>
      <name val="Carlito"/>
    </font>
    <font>
      <sz val="9"/>
      <name val="FangSong"/>
      <family val="3"/>
      <charset val="134"/>
    </font>
    <font>
      <b/>
      <sz val="11"/>
      <color rgb="FFFF0000"/>
      <name val="Carlito"/>
    </font>
    <font>
      <sz val="11"/>
      <color rgb="FFFF0000"/>
      <name val="Carlito"/>
    </font>
  </fonts>
  <fills count="5">
    <fill>
      <patternFill patternType="none"/>
    </fill>
    <fill>
      <patternFill patternType="gray125"/>
    </fill>
    <fill>
      <patternFill patternType="solid">
        <fgColor rgb="FF1F4E79"/>
      </patternFill>
    </fill>
    <fill>
      <patternFill patternType="solid">
        <fgColor rgb="FFFFF2CC"/>
      </patternFill>
    </fill>
    <fill>
      <patternFill patternType="solid">
        <fgColor rgb="FFD9EAF7"/>
      </patternFill>
    </fill>
  </fills>
  <borders count="1">
    <border>
      <left/>
      <right/>
      <top/>
      <bottom/>
      <diagonal/>
    </border>
  </borders>
  <cellStyleXfs count="2">
    <xf numFmtId="0" fontId="0" fillId="0" borderId="0"/>
    <xf numFmtId="0" fontId="4" fillId="0" borderId="0"/>
  </cellStyleXfs>
  <cellXfs count="13">
    <xf numFmtId="0" fontId="0" fillId="0" borderId="0" xfId="0"/>
    <xf numFmtId="0" fontId="0" fillId="0" borderId="0" xfId="1" applyFont="1" applyAlignment="1">
      <alignment vertical="top" wrapText="1"/>
    </xf>
    <xf numFmtId="0" fontId="0" fillId="3" borderId="0" xfId="1" applyFont="1" applyFill="1" applyAlignment="1">
      <alignment vertical="top" wrapText="1"/>
    </xf>
    <xf numFmtId="0" fontId="3" fillId="4" borderId="0" xfId="1" applyFont="1" applyFill="1" applyAlignment="1">
      <alignment vertical="top" wrapText="1"/>
    </xf>
    <xf numFmtId="0" fontId="3" fillId="4" borderId="0" xfId="1" applyFont="1" applyFill="1"/>
    <xf numFmtId="0" fontId="1" fillId="2" borderId="0" xfId="1" applyFont="1" applyFill="1" applyAlignment="1">
      <alignment horizontal="center"/>
    </xf>
    <xf numFmtId="1" fontId="0" fillId="0" borderId="0" xfId="1" applyNumberFormat="1" applyFont="1"/>
    <xf numFmtId="9" fontId="0" fillId="0" borderId="0" xfId="1" applyNumberFormat="1" applyFont="1"/>
    <xf numFmtId="2" fontId="0" fillId="0" borderId="0" xfId="1" applyNumberFormat="1" applyFont="1"/>
    <xf numFmtId="0" fontId="6" fillId="2" borderId="0" xfId="1" applyFont="1" applyFill="1" applyAlignment="1">
      <alignment horizontal="center" vertical="center" wrapText="1"/>
    </xf>
    <xf numFmtId="0" fontId="6" fillId="3" borderId="0" xfId="1" applyFont="1" applyFill="1" applyAlignment="1">
      <alignment horizontal="center" vertical="top" wrapText="1"/>
    </xf>
    <xf numFmtId="0" fontId="7" fillId="0" borderId="0" xfId="0" applyFont="1"/>
    <xf numFmtId="0" fontId="2" fillId="2" borderId="0" xfId="1" applyFont="1" applyFill="1" applyAlignment="1">
      <alignment horizontal="center"/>
    </xf>
  </cellXfs>
  <cellStyles count="2">
    <cellStyle name="Normal" xfId="1" xr:uid="{00000000-0005-0000-0000-000000000000}"/>
    <cellStyle name="常规" xfId="0" builtinId="0"/>
  </cellStyles>
  <dxfs count="1">
    <dxf>
      <font>
        <strike val="0"/>
        <outline val="0"/>
        <shadow val="0"/>
        <u val="none"/>
        <vertAlign val="baseline"/>
        <sz val="11"/>
        <color rgb="FFFF0000"/>
        <name val="Carl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nualScoringRows" displayName="ManualScoringRows" ref="A1:Q121" headerRowDxfId="0">
  <autoFilter ref="A1:Q121" xr:uid="{00000000-0009-0000-0100-000001000000}"/>
  <tableColumns count="17">
    <tableColumn id="1" xr3:uid="{00000000-0010-0000-0000-000001000000}" name="python3 scripts/run_llm_planner.py --normalize-raw runs/pilot_v0.1/raw/GPT-5.5-Thinking__canonical_v0.1__answers_public.jsonl --overwrite"/>
    <tableColumn id="2" xr3:uid="{00000000-0010-0000-0000-000002000000}" name="难度"/>
    <tableColumn id="3" xr3:uid="{00000000-0010-0000-0000-000003000000}" name="领域"/>
    <tableColumn id="4" xr3:uid="{00000000-0010-0000-0000-000004000000}" name="任务类型"/>
    <tableColumn id="5" xr3:uid="{00000000-0010-0000-0000-000005000000}" name="PDE/系统"/>
    <tableColumn id="6" xr3:uid="{00000000-0010-0000-0000-000006000000}" name="题面英文"/>
    <tableColumn id="7" xr3:uid="{00000000-0010-0000-0000-000007000000}" name="题面中文"/>
    <tableColumn id="8" xr3:uid="{00000000-0010-0000-0000-000008000000}" name="评价角度"/>
    <tableColumn id="9" xr3:uid="{00000000-0010-0000-0000-000009000000}" name="评价角度英文"/>
    <tableColumn id="10" xr3:uid="{00000000-0010-0000-0000-00000A000000}" name="模型"/>
    <tableColumn id="11" xr3:uid="{00000000-0010-0000-0000-00000B000000}" name="模型原名"/>
    <tableColumn id="12" xr3:uid="{00000000-0010-0000-0000-00000C000000}" name="模型回答英文"/>
    <tableColumn id="13" xr3:uid="{00000000-0010-0000-0000-00000D000000}" name="模型回答中文"/>
    <tableColumn id="14" xr3:uid="{00000000-0010-0000-0000-00000E000000}" name="参考答案/要点"/>
    <tableColumn id="17" xr3:uid="{00000000-0010-0000-0000-000011000000}" name="你的评分"/>
    <tableColumn id="18" xr3:uid="{00000000-0010-0000-0000-000012000000}" name="错误标签"/>
    <tableColumn id="19" xr3:uid="{00000000-0010-0000-0000-000013000000}" name="备注"/>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oringProgress" displayName="ScoringProgress" ref="A1:F7">
  <tableColumns count="6">
    <tableColumn id="1" xr3:uid="{00000000-0010-0000-0100-000001000000}" name="问题ID"/>
    <tableColumn id="2" xr3:uid="{00000000-0010-0000-0100-000002000000}" name="评分行数"/>
    <tableColumn id="3" xr3:uid="{00000000-0010-0000-0100-000003000000}" name="已评分"/>
    <tableColumn id="4" xr3:uid="{00000000-0010-0000-0100-000004000000}" name="未评分"/>
    <tableColumn id="5" xr3:uid="{00000000-0010-0000-0100-000005000000}" name="完成率"/>
    <tableColumn id="6" xr3:uid="{00000000-0010-0000-0100-000006000000}" name="平均分"/>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1"/>
  <sheetViews>
    <sheetView showGridLines="0" tabSelected="1" topLeftCell="F1" zoomScale="88" workbookViewId="0">
      <selection activeCell="O50" sqref="O50"/>
    </sheetView>
  </sheetViews>
  <sheetFormatPr baseColWidth="10" defaultColWidth="8.83203125" defaultRowHeight="14"/>
  <cols>
    <col min="1" max="1" width="25.1640625" customWidth="1"/>
    <col min="2" max="2" width="8" customWidth="1"/>
    <col min="3" max="3" width="15.33203125" customWidth="1"/>
    <col min="4" max="4" width="19.6640625" customWidth="1"/>
    <col min="5" max="5" width="20.83203125" customWidth="1"/>
    <col min="6" max="7" width="46" customWidth="1"/>
    <col min="8" max="8" width="12.83203125" customWidth="1"/>
    <col min="9" max="9" width="15.33203125" customWidth="1"/>
    <col min="10" max="10" width="16.5" customWidth="1"/>
    <col min="11" max="11" width="22.6640625" customWidth="1"/>
    <col min="12" max="13" width="63.1640625" customWidth="1"/>
    <col min="14" max="14" width="53.33203125" customWidth="1"/>
    <col min="15" max="15" width="24.6640625" customWidth="1"/>
    <col min="16" max="16" width="17.83203125" customWidth="1"/>
    <col min="17" max="17" width="28.83203125" customWidth="1"/>
  </cols>
  <sheetData>
    <row r="1" spans="1:17" s="11" customFormat="1" ht="28.5" customHeight="1">
      <c r="A1" s="9" t="s">
        <v>235</v>
      </c>
      <c r="B1" s="9" t="s">
        <v>1</v>
      </c>
      <c r="C1" s="9" t="s">
        <v>2</v>
      </c>
      <c r="D1" s="9" t="s">
        <v>3</v>
      </c>
      <c r="E1" s="9" t="s">
        <v>4</v>
      </c>
      <c r="F1" s="9" t="s">
        <v>5</v>
      </c>
      <c r="G1" s="9" t="s">
        <v>6</v>
      </c>
      <c r="H1" s="9" t="s">
        <v>7</v>
      </c>
      <c r="I1" s="9" t="s">
        <v>8</v>
      </c>
      <c r="J1" s="9" t="s">
        <v>9</v>
      </c>
      <c r="K1" s="9" t="s">
        <v>10</v>
      </c>
      <c r="L1" s="9" t="s">
        <v>11</v>
      </c>
      <c r="M1" s="9" t="s">
        <v>12</v>
      </c>
      <c r="N1" s="9" t="s">
        <v>13</v>
      </c>
      <c r="O1" s="10" t="s">
        <v>244</v>
      </c>
      <c r="P1" s="10" t="s">
        <v>14</v>
      </c>
      <c r="Q1" s="10" t="s">
        <v>15</v>
      </c>
    </row>
    <row r="2" spans="1:17" ht="84" customHeight="1">
      <c r="A2" s="1"/>
      <c r="B2" s="1" t="s">
        <v>17</v>
      </c>
      <c r="C2" s="1" t="s">
        <v>18</v>
      </c>
      <c r="D2" s="1" t="s">
        <v>19</v>
      </c>
      <c r="E2" s="1" t="s">
        <v>20</v>
      </c>
      <c r="F2" s="1" t="s">
        <v>21</v>
      </c>
      <c r="G2" s="1" t="s">
        <v>22</v>
      </c>
      <c r="H2" s="1" t="s">
        <v>23</v>
      </c>
      <c r="I2" s="1" t="s">
        <v>24</v>
      </c>
      <c r="J2" s="1" t="s">
        <v>25</v>
      </c>
      <c r="K2" s="1" t="s">
        <v>26</v>
      </c>
      <c r="L2" s="1" t="s">
        <v>236</v>
      </c>
      <c r="M2" s="1" t="s">
        <v>27</v>
      </c>
      <c r="N2" s="1" t="s">
        <v>28</v>
      </c>
      <c r="O2" s="2">
        <v>4</v>
      </c>
      <c r="P2" s="2"/>
      <c r="Q2" s="2"/>
    </row>
    <row r="3" spans="1:17" ht="84" customHeight="1">
      <c r="A3" s="1" t="s">
        <v>16</v>
      </c>
      <c r="B3" s="1" t="s">
        <v>17</v>
      </c>
      <c r="C3" s="1" t="s">
        <v>18</v>
      </c>
      <c r="D3" s="1" t="s">
        <v>19</v>
      </c>
      <c r="E3" s="1" t="s">
        <v>20</v>
      </c>
      <c r="F3" s="1" t="s">
        <v>21</v>
      </c>
      <c r="G3" s="1" t="s">
        <v>22</v>
      </c>
      <c r="H3" s="1" t="s">
        <v>23</v>
      </c>
      <c r="I3" s="1" t="s">
        <v>24</v>
      </c>
      <c r="J3" s="1" t="s">
        <v>29</v>
      </c>
      <c r="K3" s="1" t="s">
        <v>30</v>
      </c>
      <c r="L3" s="1" t="s">
        <v>238</v>
      </c>
      <c r="M3" s="1"/>
      <c r="N3" s="1" t="s">
        <v>28</v>
      </c>
      <c r="O3" s="2">
        <v>4</v>
      </c>
      <c r="P3" s="2"/>
      <c r="Q3" s="2"/>
    </row>
    <row r="4" spans="1:17" ht="84" customHeight="1">
      <c r="A4" s="1" t="s">
        <v>16</v>
      </c>
      <c r="B4" s="1" t="s">
        <v>17</v>
      </c>
      <c r="C4" s="1" t="s">
        <v>18</v>
      </c>
      <c r="D4" s="1" t="s">
        <v>19</v>
      </c>
      <c r="E4" s="1" t="s">
        <v>20</v>
      </c>
      <c r="F4" s="1" t="s">
        <v>21</v>
      </c>
      <c r="G4" s="1" t="s">
        <v>22</v>
      </c>
      <c r="H4" s="1" t="s">
        <v>23</v>
      </c>
      <c r="I4" s="1" t="s">
        <v>24</v>
      </c>
      <c r="J4" s="1" t="s">
        <v>31</v>
      </c>
      <c r="K4" s="1" t="s">
        <v>32</v>
      </c>
      <c r="L4" s="1" t="s">
        <v>239</v>
      </c>
      <c r="M4" s="1" t="s">
        <v>33</v>
      </c>
      <c r="N4" s="1" t="s">
        <v>28</v>
      </c>
      <c r="O4" s="2">
        <v>5</v>
      </c>
      <c r="P4" s="2"/>
      <c r="Q4" s="2"/>
    </row>
    <row r="5" spans="1:17" ht="84" customHeight="1">
      <c r="A5" s="1" t="s">
        <v>16</v>
      </c>
      <c r="B5" s="1" t="s">
        <v>17</v>
      </c>
      <c r="C5" s="1" t="s">
        <v>18</v>
      </c>
      <c r="D5" s="1" t="s">
        <v>19</v>
      </c>
      <c r="E5" s="1" t="s">
        <v>20</v>
      </c>
      <c r="F5" s="1" t="s">
        <v>21</v>
      </c>
      <c r="G5" s="1" t="s">
        <v>22</v>
      </c>
      <c r="H5" s="1" t="s">
        <v>23</v>
      </c>
      <c r="I5" s="1" t="s">
        <v>24</v>
      </c>
      <c r="J5" s="1" t="s">
        <v>34</v>
      </c>
      <c r="K5" s="1" t="s">
        <v>35</v>
      </c>
      <c r="L5" s="1" t="s">
        <v>237</v>
      </c>
      <c r="M5" s="1" t="s">
        <v>36</v>
      </c>
      <c r="N5" s="1" t="s">
        <v>28</v>
      </c>
      <c r="O5" s="2">
        <v>3</v>
      </c>
      <c r="P5" s="2"/>
      <c r="Q5" s="2"/>
    </row>
    <row r="6" spans="1:17" ht="84" customHeight="1">
      <c r="A6" s="1" t="s">
        <v>16</v>
      </c>
      <c r="B6" s="1" t="s">
        <v>17</v>
      </c>
      <c r="C6" s="1" t="s">
        <v>18</v>
      </c>
      <c r="D6" s="1" t="s">
        <v>19</v>
      </c>
      <c r="E6" s="1" t="s">
        <v>20</v>
      </c>
      <c r="F6" s="1" t="s">
        <v>21</v>
      </c>
      <c r="G6" s="1" t="s">
        <v>22</v>
      </c>
      <c r="H6" s="1" t="s">
        <v>37</v>
      </c>
      <c r="I6" s="1" t="s">
        <v>38</v>
      </c>
      <c r="J6" s="1" t="s">
        <v>25</v>
      </c>
      <c r="K6" s="1" t="s">
        <v>26</v>
      </c>
      <c r="L6" s="1" t="s">
        <v>240</v>
      </c>
      <c r="M6" s="1" t="s">
        <v>39</v>
      </c>
      <c r="N6" s="1" t="s">
        <v>40</v>
      </c>
      <c r="O6" s="2">
        <v>3</v>
      </c>
      <c r="P6" s="2"/>
      <c r="Q6" s="2"/>
    </row>
    <row r="7" spans="1:17" ht="84" customHeight="1">
      <c r="A7" s="1" t="s">
        <v>16</v>
      </c>
      <c r="B7" s="1" t="s">
        <v>17</v>
      </c>
      <c r="C7" s="1" t="s">
        <v>18</v>
      </c>
      <c r="D7" s="1" t="s">
        <v>19</v>
      </c>
      <c r="E7" s="1" t="s">
        <v>20</v>
      </c>
      <c r="F7" s="1" t="s">
        <v>21</v>
      </c>
      <c r="G7" s="1" t="s">
        <v>22</v>
      </c>
      <c r="H7" s="1" t="s">
        <v>37</v>
      </c>
      <c r="I7" s="1" t="s">
        <v>38</v>
      </c>
      <c r="J7" s="1" t="s">
        <v>29</v>
      </c>
      <c r="K7" s="1" t="s">
        <v>30</v>
      </c>
      <c r="L7" s="1" t="s">
        <v>241</v>
      </c>
      <c r="M7" s="1"/>
      <c r="N7" s="1" t="s">
        <v>40</v>
      </c>
      <c r="O7" s="2">
        <v>4</v>
      </c>
      <c r="P7" s="2"/>
      <c r="Q7" s="2"/>
    </row>
    <row r="8" spans="1:17" ht="84" customHeight="1">
      <c r="A8" s="1" t="s">
        <v>16</v>
      </c>
      <c r="B8" s="1" t="s">
        <v>17</v>
      </c>
      <c r="C8" s="1" t="s">
        <v>18</v>
      </c>
      <c r="D8" s="1" t="s">
        <v>19</v>
      </c>
      <c r="E8" s="1" t="s">
        <v>20</v>
      </c>
      <c r="F8" s="1" t="s">
        <v>21</v>
      </c>
      <c r="G8" s="1" t="s">
        <v>22</v>
      </c>
      <c r="H8" s="1" t="s">
        <v>37</v>
      </c>
      <c r="I8" s="1" t="s">
        <v>38</v>
      </c>
      <c r="J8" s="1" t="s">
        <v>31</v>
      </c>
      <c r="K8" s="1" t="s">
        <v>32</v>
      </c>
      <c r="L8" s="1" t="s">
        <v>242</v>
      </c>
      <c r="M8" s="1" t="s">
        <v>41</v>
      </c>
      <c r="N8" s="1" t="s">
        <v>40</v>
      </c>
      <c r="O8" s="2">
        <v>5</v>
      </c>
      <c r="P8" s="2"/>
      <c r="Q8" s="2"/>
    </row>
    <row r="9" spans="1:17" ht="84" customHeight="1">
      <c r="A9" s="1" t="s">
        <v>16</v>
      </c>
      <c r="B9" s="1" t="s">
        <v>17</v>
      </c>
      <c r="C9" s="1" t="s">
        <v>18</v>
      </c>
      <c r="D9" s="1" t="s">
        <v>19</v>
      </c>
      <c r="E9" s="1" t="s">
        <v>20</v>
      </c>
      <c r="F9" s="1" t="s">
        <v>21</v>
      </c>
      <c r="G9" s="1" t="s">
        <v>22</v>
      </c>
      <c r="H9" s="1" t="s">
        <v>37</v>
      </c>
      <c r="I9" s="1" t="s">
        <v>38</v>
      </c>
      <c r="J9" s="1" t="s">
        <v>34</v>
      </c>
      <c r="K9" s="1" t="s">
        <v>35</v>
      </c>
      <c r="L9" s="1" t="s">
        <v>243</v>
      </c>
      <c r="M9" s="1" t="s">
        <v>42</v>
      </c>
      <c r="N9" s="1" t="s">
        <v>40</v>
      </c>
      <c r="O9" s="2">
        <v>2</v>
      </c>
      <c r="P9" s="2"/>
      <c r="Q9" s="2"/>
    </row>
    <row r="10" spans="1:17" ht="84" customHeight="1">
      <c r="A10" s="1" t="s">
        <v>16</v>
      </c>
      <c r="B10" s="1" t="s">
        <v>17</v>
      </c>
      <c r="C10" s="1" t="s">
        <v>18</v>
      </c>
      <c r="D10" s="1" t="s">
        <v>19</v>
      </c>
      <c r="E10" s="1" t="s">
        <v>20</v>
      </c>
      <c r="F10" s="1" t="s">
        <v>21</v>
      </c>
      <c r="G10" s="1" t="s">
        <v>22</v>
      </c>
      <c r="H10" s="1" t="s">
        <v>43</v>
      </c>
      <c r="I10" s="1" t="s">
        <v>44</v>
      </c>
      <c r="J10" s="1" t="s">
        <v>25</v>
      </c>
      <c r="K10" s="1" t="s">
        <v>26</v>
      </c>
      <c r="L10" s="1" t="s">
        <v>245</v>
      </c>
      <c r="M10" s="1" t="s">
        <v>45</v>
      </c>
      <c r="N10" s="1" t="s">
        <v>46</v>
      </c>
      <c r="O10" s="2">
        <v>3</v>
      </c>
      <c r="P10" s="2"/>
      <c r="Q10" s="2"/>
    </row>
    <row r="11" spans="1:17" ht="84" customHeight="1">
      <c r="A11" s="1" t="s">
        <v>16</v>
      </c>
      <c r="B11" s="1" t="s">
        <v>17</v>
      </c>
      <c r="C11" s="1" t="s">
        <v>18</v>
      </c>
      <c r="D11" s="1" t="s">
        <v>19</v>
      </c>
      <c r="E11" s="1" t="s">
        <v>20</v>
      </c>
      <c r="F11" s="1" t="s">
        <v>21</v>
      </c>
      <c r="G11" s="1" t="s">
        <v>22</v>
      </c>
      <c r="H11" s="1" t="s">
        <v>43</v>
      </c>
      <c r="I11" s="1" t="s">
        <v>44</v>
      </c>
      <c r="J11" s="1" t="s">
        <v>29</v>
      </c>
      <c r="K11" s="1" t="s">
        <v>30</v>
      </c>
      <c r="L11" s="1" t="s">
        <v>246</v>
      </c>
      <c r="M11" s="1"/>
      <c r="N11" s="1" t="s">
        <v>46</v>
      </c>
      <c r="O11" s="2">
        <v>4</v>
      </c>
      <c r="P11" s="2"/>
      <c r="Q11" s="2"/>
    </row>
    <row r="12" spans="1:17" ht="84" customHeight="1">
      <c r="A12" s="1" t="s">
        <v>16</v>
      </c>
      <c r="B12" s="1" t="s">
        <v>17</v>
      </c>
      <c r="C12" s="1" t="s">
        <v>18</v>
      </c>
      <c r="D12" s="1" t="s">
        <v>19</v>
      </c>
      <c r="E12" s="1" t="s">
        <v>20</v>
      </c>
      <c r="F12" s="1" t="s">
        <v>21</v>
      </c>
      <c r="G12" s="1" t="s">
        <v>22</v>
      </c>
      <c r="H12" s="1" t="s">
        <v>43</v>
      </c>
      <c r="I12" s="1" t="s">
        <v>44</v>
      </c>
      <c r="J12" s="1" t="s">
        <v>31</v>
      </c>
      <c r="K12" s="1" t="s">
        <v>32</v>
      </c>
      <c r="L12" s="1" t="s">
        <v>247</v>
      </c>
      <c r="M12" s="1" t="s">
        <v>47</v>
      </c>
      <c r="N12" s="1" t="s">
        <v>46</v>
      </c>
      <c r="O12" s="2">
        <v>5</v>
      </c>
      <c r="P12" s="2"/>
      <c r="Q12" s="2"/>
    </row>
    <row r="13" spans="1:17" ht="84" customHeight="1">
      <c r="A13" s="1" t="s">
        <v>16</v>
      </c>
      <c r="B13" s="1" t="s">
        <v>17</v>
      </c>
      <c r="C13" s="1" t="s">
        <v>18</v>
      </c>
      <c r="D13" s="1" t="s">
        <v>19</v>
      </c>
      <c r="E13" s="1" t="s">
        <v>20</v>
      </c>
      <c r="F13" s="1" t="s">
        <v>21</v>
      </c>
      <c r="G13" s="1" t="s">
        <v>22</v>
      </c>
      <c r="H13" s="1" t="s">
        <v>43</v>
      </c>
      <c r="I13" s="1" t="s">
        <v>44</v>
      </c>
      <c r="J13" s="1" t="s">
        <v>34</v>
      </c>
      <c r="K13" s="1" t="s">
        <v>35</v>
      </c>
      <c r="L13" s="1" t="s">
        <v>248</v>
      </c>
      <c r="M13" s="1" t="s">
        <v>48</v>
      </c>
      <c r="N13" s="1" t="s">
        <v>46</v>
      </c>
      <c r="O13" s="2">
        <v>3</v>
      </c>
      <c r="P13" s="2"/>
      <c r="Q13" s="2"/>
    </row>
    <row r="14" spans="1:17" ht="84" customHeight="1">
      <c r="A14" s="1" t="s">
        <v>16</v>
      </c>
      <c r="B14" s="1" t="s">
        <v>17</v>
      </c>
      <c r="C14" s="1" t="s">
        <v>18</v>
      </c>
      <c r="D14" s="1" t="s">
        <v>19</v>
      </c>
      <c r="E14" s="1" t="s">
        <v>20</v>
      </c>
      <c r="F14" s="1" t="s">
        <v>21</v>
      </c>
      <c r="G14" s="1" t="s">
        <v>22</v>
      </c>
      <c r="H14" s="1" t="s">
        <v>49</v>
      </c>
      <c r="I14" s="1" t="s">
        <v>50</v>
      </c>
      <c r="J14" s="1" t="s">
        <v>25</v>
      </c>
      <c r="K14" s="1" t="s">
        <v>26</v>
      </c>
      <c r="L14" s="1" t="s">
        <v>249</v>
      </c>
      <c r="M14" s="1" t="s">
        <v>51</v>
      </c>
      <c r="N14" s="1" t="s">
        <v>52</v>
      </c>
      <c r="O14" s="2">
        <v>4</v>
      </c>
      <c r="P14" s="2"/>
      <c r="Q14" s="2"/>
    </row>
    <row r="15" spans="1:17" ht="84" customHeight="1">
      <c r="A15" s="1" t="s">
        <v>16</v>
      </c>
      <c r="B15" s="1" t="s">
        <v>17</v>
      </c>
      <c r="C15" s="1" t="s">
        <v>18</v>
      </c>
      <c r="D15" s="1" t="s">
        <v>19</v>
      </c>
      <c r="E15" s="1" t="s">
        <v>20</v>
      </c>
      <c r="F15" s="1" t="s">
        <v>21</v>
      </c>
      <c r="G15" s="1" t="s">
        <v>22</v>
      </c>
      <c r="H15" s="1" t="s">
        <v>49</v>
      </c>
      <c r="I15" s="1" t="s">
        <v>50</v>
      </c>
      <c r="J15" s="1" t="s">
        <v>29</v>
      </c>
      <c r="K15" s="1" t="s">
        <v>30</v>
      </c>
      <c r="L15" s="1" t="s">
        <v>250</v>
      </c>
      <c r="M15" s="1"/>
      <c r="N15" s="1" t="s">
        <v>52</v>
      </c>
      <c r="O15" s="2">
        <v>4</v>
      </c>
      <c r="P15" s="2"/>
      <c r="Q15" s="2"/>
    </row>
    <row r="16" spans="1:17" ht="84" customHeight="1">
      <c r="A16" s="1" t="s">
        <v>16</v>
      </c>
      <c r="B16" s="1" t="s">
        <v>17</v>
      </c>
      <c r="C16" s="1" t="s">
        <v>18</v>
      </c>
      <c r="D16" s="1" t="s">
        <v>19</v>
      </c>
      <c r="E16" s="1" t="s">
        <v>20</v>
      </c>
      <c r="F16" s="1" t="s">
        <v>21</v>
      </c>
      <c r="G16" s="1" t="s">
        <v>22</v>
      </c>
      <c r="H16" s="1" t="s">
        <v>49</v>
      </c>
      <c r="I16" s="1" t="s">
        <v>50</v>
      </c>
      <c r="J16" s="1" t="s">
        <v>31</v>
      </c>
      <c r="K16" s="1" t="s">
        <v>32</v>
      </c>
      <c r="L16" s="1" t="s">
        <v>251</v>
      </c>
      <c r="M16" s="1" t="s">
        <v>53</v>
      </c>
      <c r="N16" s="1" t="s">
        <v>52</v>
      </c>
      <c r="O16" s="2">
        <v>5</v>
      </c>
      <c r="P16" s="2"/>
      <c r="Q16" s="2"/>
    </row>
    <row r="17" spans="1:17" ht="84" customHeight="1">
      <c r="A17" s="1" t="s">
        <v>16</v>
      </c>
      <c r="B17" s="1" t="s">
        <v>17</v>
      </c>
      <c r="C17" s="1" t="s">
        <v>18</v>
      </c>
      <c r="D17" s="1" t="s">
        <v>19</v>
      </c>
      <c r="E17" s="1" t="s">
        <v>20</v>
      </c>
      <c r="F17" s="1" t="s">
        <v>21</v>
      </c>
      <c r="G17" s="1" t="s">
        <v>22</v>
      </c>
      <c r="H17" s="1" t="s">
        <v>49</v>
      </c>
      <c r="I17" s="1" t="s">
        <v>50</v>
      </c>
      <c r="J17" s="1" t="s">
        <v>34</v>
      </c>
      <c r="K17" s="1" t="s">
        <v>35</v>
      </c>
      <c r="L17" s="1" t="s">
        <v>252</v>
      </c>
      <c r="M17" s="1" t="s">
        <v>54</v>
      </c>
      <c r="N17" s="1" t="s">
        <v>52</v>
      </c>
      <c r="O17" s="2">
        <v>3</v>
      </c>
      <c r="P17" s="2"/>
      <c r="Q17" s="2"/>
    </row>
    <row r="18" spans="1:17" ht="84" customHeight="1">
      <c r="A18" s="1" t="s">
        <v>16</v>
      </c>
      <c r="B18" s="1" t="s">
        <v>17</v>
      </c>
      <c r="C18" s="1" t="s">
        <v>18</v>
      </c>
      <c r="D18" s="1" t="s">
        <v>19</v>
      </c>
      <c r="E18" s="1" t="s">
        <v>20</v>
      </c>
      <c r="F18" s="1" t="s">
        <v>21</v>
      </c>
      <c r="G18" s="1" t="s">
        <v>22</v>
      </c>
      <c r="H18" s="1" t="s">
        <v>55</v>
      </c>
      <c r="I18" s="1" t="s">
        <v>56</v>
      </c>
      <c r="J18" s="1" t="s">
        <v>25</v>
      </c>
      <c r="K18" s="1" t="s">
        <v>26</v>
      </c>
      <c r="L18" s="1" t="s">
        <v>253</v>
      </c>
      <c r="M18" s="1" t="s">
        <v>57</v>
      </c>
      <c r="N18" s="1" t="s">
        <v>58</v>
      </c>
      <c r="O18" s="2">
        <v>3</v>
      </c>
      <c r="P18" s="2"/>
      <c r="Q18" s="2"/>
    </row>
    <row r="19" spans="1:17" ht="84" customHeight="1">
      <c r="A19" s="1" t="s">
        <v>16</v>
      </c>
      <c r="B19" s="1" t="s">
        <v>17</v>
      </c>
      <c r="C19" s="1" t="s">
        <v>18</v>
      </c>
      <c r="D19" s="1" t="s">
        <v>19</v>
      </c>
      <c r="E19" s="1" t="s">
        <v>20</v>
      </c>
      <c r="F19" s="1" t="s">
        <v>21</v>
      </c>
      <c r="G19" s="1" t="s">
        <v>22</v>
      </c>
      <c r="H19" s="1" t="s">
        <v>55</v>
      </c>
      <c r="I19" s="1" t="s">
        <v>56</v>
      </c>
      <c r="J19" s="1" t="s">
        <v>29</v>
      </c>
      <c r="K19" s="1" t="s">
        <v>30</v>
      </c>
      <c r="L19" s="1" t="s">
        <v>254</v>
      </c>
      <c r="M19" s="1"/>
      <c r="N19" s="1" t="s">
        <v>58</v>
      </c>
      <c r="O19" s="2">
        <v>4</v>
      </c>
      <c r="P19" s="2"/>
      <c r="Q19" s="2"/>
    </row>
    <row r="20" spans="1:17" ht="84" customHeight="1">
      <c r="A20" s="1" t="s">
        <v>16</v>
      </c>
      <c r="B20" s="1" t="s">
        <v>17</v>
      </c>
      <c r="C20" s="1" t="s">
        <v>18</v>
      </c>
      <c r="D20" s="1" t="s">
        <v>19</v>
      </c>
      <c r="E20" s="1" t="s">
        <v>20</v>
      </c>
      <c r="F20" s="1" t="s">
        <v>21</v>
      </c>
      <c r="G20" s="1" t="s">
        <v>22</v>
      </c>
      <c r="H20" s="1" t="s">
        <v>55</v>
      </c>
      <c r="I20" s="1" t="s">
        <v>56</v>
      </c>
      <c r="J20" s="1" t="s">
        <v>31</v>
      </c>
      <c r="K20" s="1" t="s">
        <v>32</v>
      </c>
      <c r="L20" s="1" t="s">
        <v>255</v>
      </c>
      <c r="M20" s="1" t="s">
        <v>59</v>
      </c>
      <c r="N20" s="1" t="s">
        <v>58</v>
      </c>
      <c r="O20" s="2">
        <v>5</v>
      </c>
      <c r="P20" s="2"/>
      <c r="Q20" s="2"/>
    </row>
    <row r="21" spans="1:17" ht="84" customHeight="1">
      <c r="A21" s="1" t="s">
        <v>16</v>
      </c>
      <c r="B21" s="1" t="s">
        <v>17</v>
      </c>
      <c r="C21" s="1" t="s">
        <v>18</v>
      </c>
      <c r="D21" s="1" t="s">
        <v>19</v>
      </c>
      <c r="E21" s="1" t="s">
        <v>20</v>
      </c>
      <c r="F21" s="1" t="s">
        <v>21</v>
      </c>
      <c r="G21" s="1" t="s">
        <v>22</v>
      </c>
      <c r="H21" s="1" t="s">
        <v>55</v>
      </c>
      <c r="I21" s="1" t="s">
        <v>56</v>
      </c>
      <c r="J21" s="1" t="s">
        <v>34</v>
      </c>
      <c r="K21" s="1" t="s">
        <v>35</v>
      </c>
      <c r="L21" s="1" t="s">
        <v>256</v>
      </c>
      <c r="M21" s="1" t="s">
        <v>60</v>
      </c>
      <c r="N21" s="1" t="s">
        <v>58</v>
      </c>
      <c r="O21" s="2">
        <v>2</v>
      </c>
      <c r="P21" s="2"/>
      <c r="Q21" s="2"/>
    </row>
    <row r="22" spans="1:17" ht="84" customHeight="1">
      <c r="A22" s="1" t="s">
        <v>61</v>
      </c>
      <c r="B22" s="1" t="s">
        <v>62</v>
      </c>
      <c r="C22" s="1" t="s">
        <v>18</v>
      </c>
      <c r="D22" s="1" t="s">
        <v>63</v>
      </c>
      <c r="E22" s="1" t="s">
        <v>20</v>
      </c>
      <c r="F22" s="1" t="s">
        <v>64</v>
      </c>
      <c r="G22" s="1" t="s">
        <v>65</v>
      </c>
      <c r="H22" s="1" t="s">
        <v>23</v>
      </c>
      <c r="I22" s="1" t="s">
        <v>24</v>
      </c>
      <c r="J22" s="1" t="s">
        <v>25</v>
      </c>
      <c r="K22" s="1" t="s">
        <v>26</v>
      </c>
      <c r="L22" s="1" t="s">
        <v>66</v>
      </c>
      <c r="M22" s="1" t="s">
        <v>67</v>
      </c>
      <c r="N22" s="1" t="s">
        <v>68</v>
      </c>
      <c r="O22" s="2"/>
      <c r="P22" s="2"/>
      <c r="Q22" s="2"/>
    </row>
    <row r="23" spans="1:17" ht="84" customHeight="1">
      <c r="A23" s="1" t="s">
        <v>61</v>
      </c>
      <c r="B23" s="1" t="s">
        <v>62</v>
      </c>
      <c r="C23" s="1" t="s">
        <v>18</v>
      </c>
      <c r="D23" s="1" t="s">
        <v>63</v>
      </c>
      <c r="E23" s="1" t="s">
        <v>20</v>
      </c>
      <c r="F23" s="1" t="s">
        <v>64</v>
      </c>
      <c r="G23" s="1" t="s">
        <v>65</v>
      </c>
      <c r="H23" s="1" t="s">
        <v>23</v>
      </c>
      <c r="I23" s="1" t="s">
        <v>24</v>
      </c>
      <c r="J23" s="1" t="s">
        <v>29</v>
      </c>
      <c r="K23" s="1" t="s">
        <v>30</v>
      </c>
      <c r="L23" s="1" t="s">
        <v>69</v>
      </c>
      <c r="M23" s="1"/>
      <c r="N23" s="1" t="s">
        <v>68</v>
      </c>
      <c r="O23" s="2"/>
      <c r="P23" s="2"/>
      <c r="Q23" s="2"/>
    </row>
    <row r="24" spans="1:17" ht="84" customHeight="1">
      <c r="A24" s="1" t="s">
        <v>61</v>
      </c>
      <c r="B24" s="1" t="s">
        <v>62</v>
      </c>
      <c r="C24" s="1" t="s">
        <v>18</v>
      </c>
      <c r="D24" s="1" t="s">
        <v>63</v>
      </c>
      <c r="E24" s="1" t="s">
        <v>20</v>
      </c>
      <c r="F24" s="1" t="s">
        <v>64</v>
      </c>
      <c r="G24" s="1" t="s">
        <v>65</v>
      </c>
      <c r="H24" s="1" t="s">
        <v>23</v>
      </c>
      <c r="I24" s="1" t="s">
        <v>24</v>
      </c>
      <c r="J24" s="1" t="s">
        <v>31</v>
      </c>
      <c r="K24" s="1" t="s">
        <v>32</v>
      </c>
      <c r="L24" s="1" t="s">
        <v>70</v>
      </c>
      <c r="M24" s="1" t="s">
        <v>71</v>
      </c>
      <c r="N24" s="1" t="s">
        <v>68</v>
      </c>
      <c r="O24" s="2"/>
      <c r="P24" s="2"/>
      <c r="Q24" s="2"/>
    </row>
    <row r="25" spans="1:17" ht="84" customHeight="1">
      <c r="A25" s="1" t="s">
        <v>61</v>
      </c>
      <c r="B25" s="1" t="s">
        <v>62</v>
      </c>
      <c r="C25" s="1" t="s">
        <v>18</v>
      </c>
      <c r="D25" s="1" t="s">
        <v>63</v>
      </c>
      <c r="E25" s="1" t="s">
        <v>20</v>
      </c>
      <c r="F25" s="1" t="s">
        <v>64</v>
      </c>
      <c r="G25" s="1" t="s">
        <v>65</v>
      </c>
      <c r="H25" s="1" t="s">
        <v>23</v>
      </c>
      <c r="I25" s="1" t="s">
        <v>24</v>
      </c>
      <c r="J25" s="1" t="s">
        <v>34</v>
      </c>
      <c r="K25" s="1" t="s">
        <v>35</v>
      </c>
      <c r="L25" s="1" t="s">
        <v>72</v>
      </c>
      <c r="M25" s="1" t="s">
        <v>73</v>
      </c>
      <c r="N25" s="1" t="s">
        <v>68</v>
      </c>
      <c r="O25" s="2"/>
      <c r="P25" s="2"/>
      <c r="Q25" s="2"/>
    </row>
    <row r="26" spans="1:17" ht="84" customHeight="1">
      <c r="A26" s="1" t="s">
        <v>61</v>
      </c>
      <c r="B26" s="1" t="s">
        <v>62</v>
      </c>
      <c r="C26" s="1" t="s">
        <v>18</v>
      </c>
      <c r="D26" s="1" t="s">
        <v>63</v>
      </c>
      <c r="E26" s="1" t="s">
        <v>20</v>
      </c>
      <c r="F26" s="1" t="s">
        <v>64</v>
      </c>
      <c r="G26" s="1" t="s">
        <v>65</v>
      </c>
      <c r="H26" s="1" t="s">
        <v>37</v>
      </c>
      <c r="I26" s="1" t="s">
        <v>38</v>
      </c>
      <c r="J26" s="1" t="s">
        <v>25</v>
      </c>
      <c r="K26" s="1" t="s">
        <v>26</v>
      </c>
      <c r="L26" s="1" t="s">
        <v>74</v>
      </c>
      <c r="M26" s="1" t="s">
        <v>75</v>
      </c>
      <c r="N26" s="1" t="s">
        <v>76</v>
      </c>
      <c r="O26" s="2"/>
      <c r="P26" s="2"/>
      <c r="Q26" s="2"/>
    </row>
    <row r="27" spans="1:17" ht="84" customHeight="1">
      <c r="A27" s="1" t="s">
        <v>61</v>
      </c>
      <c r="B27" s="1" t="s">
        <v>62</v>
      </c>
      <c r="C27" s="1" t="s">
        <v>18</v>
      </c>
      <c r="D27" s="1" t="s">
        <v>63</v>
      </c>
      <c r="E27" s="1" t="s">
        <v>20</v>
      </c>
      <c r="F27" s="1" t="s">
        <v>64</v>
      </c>
      <c r="G27" s="1" t="s">
        <v>65</v>
      </c>
      <c r="H27" s="1" t="s">
        <v>37</v>
      </c>
      <c r="I27" s="1" t="s">
        <v>38</v>
      </c>
      <c r="J27" s="1" t="s">
        <v>29</v>
      </c>
      <c r="K27" s="1" t="s">
        <v>30</v>
      </c>
      <c r="L27" s="1" t="s">
        <v>77</v>
      </c>
      <c r="M27" s="1"/>
      <c r="N27" s="1" t="s">
        <v>76</v>
      </c>
      <c r="O27" s="2"/>
      <c r="P27" s="2"/>
      <c r="Q27" s="2"/>
    </row>
    <row r="28" spans="1:17" ht="84" customHeight="1">
      <c r="A28" s="1" t="s">
        <v>61</v>
      </c>
      <c r="B28" s="1" t="s">
        <v>62</v>
      </c>
      <c r="C28" s="1" t="s">
        <v>18</v>
      </c>
      <c r="D28" s="1" t="s">
        <v>63</v>
      </c>
      <c r="E28" s="1" t="s">
        <v>20</v>
      </c>
      <c r="F28" s="1" t="s">
        <v>64</v>
      </c>
      <c r="G28" s="1" t="s">
        <v>65</v>
      </c>
      <c r="H28" s="1" t="s">
        <v>37</v>
      </c>
      <c r="I28" s="1" t="s">
        <v>38</v>
      </c>
      <c r="J28" s="1" t="s">
        <v>31</v>
      </c>
      <c r="K28" s="1" t="s">
        <v>32</v>
      </c>
      <c r="L28" s="1" t="s">
        <v>78</v>
      </c>
      <c r="M28" s="1" t="s">
        <v>75</v>
      </c>
      <c r="N28" s="1" t="s">
        <v>76</v>
      </c>
      <c r="O28" s="2"/>
      <c r="P28" s="2"/>
      <c r="Q28" s="2"/>
    </row>
    <row r="29" spans="1:17" ht="84" customHeight="1">
      <c r="A29" s="1" t="s">
        <v>61</v>
      </c>
      <c r="B29" s="1" t="s">
        <v>62</v>
      </c>
      <c r="C29" s="1" t="s">
        <v>18</v>
      </c>
      <c r="D29" s="1" t="s">
        <v>63</v>
      </c>
      <c r="E29" s="1" t="s">
        <v>20</v>
      </c>
      <c r="F29" s="1" t="s">
        <v>64</v>
      </c>
      <c r="G29" s="1" t="s">
        <v>65</v>
      </c>
      <c r="H29" s="1" t="s">
        <v>37</v>
      </c>
      <c r="I29" s="1" t="s">
        <v>38</v>
      </c>
      <c r="J29" s="1" t="s">
        <v>34</v>
      </c>
      <c r="K29" s="1" t="s">
        <v>35</v>
      </c>
      <c r="L29" s="1" t="s">
        <v>79</v>
      </c>
      <c r="M29" s="1" t="s">
        <v>75</v>
      </c>
      <c r="N29" s="1" t="s">
        <v>76</v>
      </c>
      <c r="O29" s="2"/>
      <c r="P29" s="2"/>
      <c r="Q29" s="2"/>
    </row>
    <row r="30" spans="1:17" ht="84" customHeight="1">
      <c r="A30" s="1" t="s">
        <v>61</v>
      </c>
      <c r="B30" s="1" t="s">
        <v>62</v>
      </c>
      <c r="C30" s="1" t="s">
        <v>18</v>
      </c>
      <c r="D30" s="1" t="s">
        <v>63</v>
      </c>
      <c r="E30" s="1" t="s">
        <v>20</v>
      </c>
      <c r="F30" s="1" t="s">
        <v>64</v>
      </c>
      <c r="G30" s="1" t="s">
        <v>65</v>
      </c>
      <c r="H30" s="1" t="s">
        <v>43</v>
      </c>
      <c r="I30" s="1" t="s">
        <v>44</v>
      </c>
      <c r="J30" s="1" t="s">
        <v>25</v>
      </c>
      <c r="K30" s="1" t="s">
        <v>26</v>
      </c>
      <c r="L30" s="1" t="s">
        <v>80</v>
      </c>
      <c r="M30" s="1" t="s">
        <v>75</v>
      </c>
      <c r="N30" s="1" t="s">
        <v>81</v>
      </c>
      <c r="O30" s="2"/>
      <c r="P30" s="2"/>
      <c r="Q30" s="2"/>
    </row>
    <row r="31" spans="1:17" ht="84" customHeight="1">
      <c r="A31" s="1" t="s">
        <v>61</v>
      </c>
      <c r="B31" s="1" t="s">
        <v>62</v>
      </c>
      <c r="C31" s="1" t="s">
        <v>18</v>
      </c>
      <c r="D31" s="1" t="s">
        <v>63</v>
      </c>
      <c r="E31" s="1" t="s">
        <v>20</v>
      </c>
      <c r="F31" s="1" t="s">
        <v>64</v>
      </c>
      <c r="G31" s="1" t="s">
        <v>65</v>
      </c>
      <c r="H31" s="1" t="s">
        <v>43</v>
      </c>
      <c r="I31" s="1" t="s">
        <v>44</v>
      </c>
      <c r="J31" s="1" t="s">
        <v>29</v>
      </c>
      <c r="K31" s="1" t="s">
        <v>30</v>
      </c>
      <c r="L31" s="1" t="s">
        <v>82</v>
      </c>
      <c r="M31" s="1"/>
      <c r="N31" s="1" t="s">
        <v>81</v>
      </c>
      <c r="O31" s="2"/>
      <c r="P31" s="2"/>
      <c r="Q31" s="2"/>
    </row>
    <row r="32" spans="1:17" ht="84" customHeight="1">
      <c r="A32" s="1" t="s">
        <v>61</v>
      </c>
      <c r="B32" s="1" t="s">
        <v>62</v>
      </c>
      <c r="C32" s="1" t="s">
        <v>18</v>
      </c>
      <c r="D32" s="1" t="s">
        <v>63</v>
      </c>
      <c r="E32" s="1" t="s">
        <v>20</v>
      </c>
      <c r="F32" s="1" t="s">
        <v>64</v>
      </c>
      <c r="G32" s="1" t="s">
        <v>65</v>
      </c>
      <c r="H32" s="1" t="s">
        <v>43</v>
      </c>
      <c r="I32" s="1" t="s">
        <v>44</v>
      </c>
      <c r="J32" s="1" t="s">
        <v>31</v>
      </c>
      <c r="K32" s="1" t="s">
        <v>32</v>
      </c>
      <c r="L32" s="1" t="s">
        <v>83</v>
      </c>
      <c r="M32" s="1" t="s">
        <v>75</v>
      </c>
      <c r="N32" s="1" t="s">
        <v>81</v>
      </c>
      <c r="O32" s="2"/>
      <c r="P32" s="2"/>
      <c r="Q32" s="2"/>
    </row>
    <row r="33" spans="1:17" ht="84" customHeight="1">
      <c r="A33" s="1" t="s">
        <v>61</v>
      </c>
      <c r="B33" s="1" t="s">
        <v>62</v>
      </c>
      <c r="C33" s="1" t="s">
        <v>18</v>
      </c>
      <c r="D33" s="1" t="s">
        <v>63</v>
      </c>
      <c r="E33" s="1" t="s">
        <v>20</v>
      </c>
      <c r="F33" s="1" t="s">
        <v>64</v>
      </c>
      <c r="G33" s="1" t="s">
        <v>65</v>
      </c>
      <c r="H33" s="1" t="s">
        <v>43</v>
      </c>
      <c r="I33" s="1" t="s">
        <v>44</v>
      </c>
      <c r="J33" s="1" t="s">
        <v>34</v>
      </c>
      <c r="K33" s="1" t="s">
        <v>35</v>
      </c>
      <c r="L33" s="1" t="s">
        <v>84</v>
      </c>
      <c r="M33" s="1" t="s">
        <v>75</v>
      </c>
      <c r="N33" s="1" t="s">
        <v>81</v>
      </c>
      <c r="O33" s="2"/>
      <c r="P33" s="2"/>
      <c r="Q33" s="2"/>
    </row>
    <row r="34" spans="1:17" ht="84" customHeight="1">
      <c r="A34" s="1" t="s">
        <v>61</v>
      </c>
      <c r="B34" s="1" t="s">
        <v>62</v>
      </c>
      <c r="C34" s="1" t="s">
        <v>18</v>
      </c>
      <c r="D34" s="1" t="s">
        <v>63</v>
      </c>
      <c r="E34" s="1" t="s">
        <v>20</v>
      </c>
      <c r="F34" s="1" t="s">
        <v>64</v>
      </c>
      <c r="G34" s="1" t="s">
        <v>65</v>
      </c>
      <c r="H34" s="1" t="s">
        <v>49</v>
      </c>
      <c r="I34" s="1" t="s">
        <v>50</v>
      </c>
      <c r="J34" s="1" t="s">
        <v>25</v>
      </c>
      <c r="K34" s="1" t="s">
        <v>26</v>
      </c>
      <c r="L34" s="1" t="s">
        <v>85</v>
      </c>
      <c r="M34" s="1" t="s">
        <v>75</v>
      </c>
      <c r="N34" s="1" t="s">
        <v>86</v>
      </c>
      <c r="O34" s="2"/>
      <c r="P34" s="2"/>
      <c r="Q34" s="2"/>
    </row>
    <row r="35" spans="1:17" ht="84" customHeight="1">
      <c r="A35" s="1" t="s">
        <v>61</v>
      </c>
      <c r="B35" s="1" t="s">
        <v>62</v>
      </c>
      <c r="C35" s="1" t="s">
        <v>18</v>
      </c>
      <c r="D35" s="1" t="s">
        <v>63</v>
      </c>
      <c r="E35" s="1" t="s">
        <v>20</v>
      </c>
      <c r="F35" s="1" t="s">
        <v>64</v>
      </c>
      <c r="G35" s="1" t="s">
        <v>65</v>
      </c>
      <c r="H35" s="1" t="s">
        <v>49</v>
      </c>
      <c r="I35" s="1" t="s">
        <v>50</v>
      </c>
      <c r="J35" s="1" t="s">
        <v>29</v>
      </c>
      <c r="K35" s="1" t="s">
        <v>30</v>
      </c>
      <c r="L35" s="1" t="s">
        <v>87</v>
      </c>
      <c r="M35" s="1"/>
      <c r="N35" s="1" t="s">
        <v>86</v>
      </c>
      <c r="O35" s="2"/>
      <c r="P35" s="2"/>
      <c r="Q35" s="2"/>
    </row>
    <row r="36" spans="1:17" ht="84" customHeight="1">
      <c r="A36" s="1" t="s">
        <v>61</v>
      </c>
      <c r="B36" s="1" t="s">
        <v>62</v>
      </c>
      <c r="C36" s="1" t="s">
        <v>18</v>
      </c>
      <c r="D36" s="1" t="s">
        <v>63</v>
      </c>
      <c r="E36" s="1" t="s">
        <v>20</v>
      </c>
      <c r="F36" s="1" t="s">
        <v>64</v>
      </c>
      <c r="G36" s="1" t="s">
        <v>65</v>
      </c>
      <c r="H36" s="1" t="s">
        <v>49</v>
      </c>
      <c r="I36" s="1" t="s">
        <v>50</v>
      </c>
      <c r="J36" s="1" t="s">
        <v>31</v>
      </c>
      <c r="K36" s="1" t="s">
        <v>32</v>
      </c>
      <c r="L36" s="1" t="s">
        <v>88</v>
      </c>
      <c r="M36" s="1" t="s">
        <v>75</v>
      </c>
      <c r="N36" s="1" t="s">
        <v>86</v>
      </c>
      <c r="O36" s="2"/>
      <c r="P36" s="2"/>
      <c r="Q36" s="2"/>
    </row>
    <row r="37" spans="1:17" ht="84" customHeight="1">
      <c r="A37" s="1" t="s">
        <v>61</v>
      </c>
      <c r="B37" s="1" t="s">
        <v>62</v>
      </c>
      <c r="C37" s="1" t="s">
        <v>18</v>
      </c>
      <c r="D37" s="1" t="s">
        <v>63</v>
      </c>
      <c r="E37" s="1" t="s">
        <v>20</v>
      </c>
      <c r="F37" s="1" t="s">
        <v>64</v>
      </c>
      <c r="G37" s="1" t="s">
        <v>65</v>
      </c>
      <c r="H37" s="1" t="s">
        <v>49</v>
      </c>
      <c r="I37" s="1" t="s">
        <v>50</v>
      </c>
      <c r="J37" s="1" t="s">
        <v>34</v>
      </c>
      <c r="K37" s="1" t="s">
        <v>35</v>
      </c>
      <c r="L37" s="1" t="s">
        <v>89</v>
      </c>
      <c r="M37" s="1" t="s">
        <v>75</v>
      </c>
      <c r="N37" s="1" t="s">
        <v>86</v>
      </c>
      <c r="O37" s="2"/>
      <c r="P37" s="2"/>
      <c r="Q37" s="2"/>
    </row>
    <row r="38" spans="1:17" ht="84" customHeight="1">
      <c r="A38" s="1" t="s">
        <v>61</v>
      </c>
      <c r="B38" s="1" t="s">
        <v>62</v>
      </c>
      <c r="C38" s="1" t="s">
        <v>18</v>
      </c>
      <c r="D38" s="1" t="s">
        <v>63</v>
      </c>
      <c r="E38" s="1" t="s">
        <v>20</v>
      </c>
      <c r="F38" s="1" t="s">
        <v>64</v>
      </c>
      <c r="G38" s="1" t="s">
        <v>65</v>
      </c>
      <c r="H38" s="1" t="s">
        <v>55</v>
      </c>
      <c r="I38" s="1" t="s">
        <v>56</v>
      </c>
      <c r="J38" s="1" t="s">
        <v>25</v>
      </c>
      <c r="K38" s="1" t="s">
        <v>26</v>
      </c>
      <c r="L38" s="1" t="s">
        <v>90</v>
      </c>
      <c r="M38" s="1" t="s">
        <v>75</v>
      </c>
      <c r="N38" s="1" t="s">
        <v>91</v>
      </c>
      <c r="O38" s="2"/>
      <c r="P38" s="2"/>
      <c r="Q38" s="2"/>
    </row>
    <row r="39" spans="1:17" ht="84" customHeight="1">
      <c r="A39" s="1" t="s">
        <v>61</v>
      </c>
      <c r="B39" s="1" t="s">
        <v>62</v>
      </c>
      <c r="C39" s="1" t="s">
        <v>18</v>
      </c>
      <c r="D39" s="1" t="s">
        <v>63</v>
      </c>
      <c r="E39" s="1" t="s">
        <v>20</v>
      </c>
      <c r="F39" s="1" t="s">
        <v>64</v>
      </c>
      <c r="G39" s="1" t="s">
        <v>65</v>
      </c>
      <c r="H39" s="1" t="s">
        <v>55</v>
      </c>
      <c r="I39" s="1" t="s">
        <v>56</v>
      </c>
      <c r="J39" s="1" t="s">
        <v>29</v>
      </c>
      <c r="K39" s="1" t="s">
        <v>30</v>
      </c>
      <c r="L39" s="1" t="s">
        <v>92</v>
      </c>
      <c r="M39" s="1"/>
      <c r="N39" s="1" t="s">
        <v>91</v>
      </c>
      <c r="O39" s="2"/>
      <c r="P39" s="2"/>
      <c r="Q39" s="2"/>
    </row>
    <row r="40" spans="1:17" ht="84" customHeight="1">
      <c r="A40" s="1" t="s">
        <v>61</v>
      </c>
      <c r="B40" s="1" t="s">
        <v>62</v>
      </c>
      <c r="C40" s="1" t="s">
        <v>18</v>
      </c>
      <c r="D40" s="1" t="s">
        <v>63</v>
      </c>
      <c r="E40" s="1" t="s">
        <v>20</v>
      </c>
      <c r="F40" s="1" t="s">
        <v>64</v>
      </c>
      <c r="G40" s="1" t="s">
        <v>65</v>
      </c>
      <c r="H40" s="1" t="s">
        <v>55</v>
      </c>
      <c r="I40" s="1" t="s">
        <v>56</v>
      </c>
      <c r="J40" s="1" t="s">
        <v>31</v>
      </c>
      <c r="K40" s="1" t="s">
        <v>32</v>
      </c>
      <c r="L40" s="1" t="s">
        <v>93</v>
      </c>
      <c r="M40" s="1" t="s">
        <v>75</v>
      </c>
      <c r="N40" s="1" t="s">
        <v>91</v>
      </c>
      <c r="O40" s="2"/>
      <c r="P40" s="2"/>
      <c r="Q40" s="2"/>
    </row>
    <row r="41" spans="1:17" ht="84" customHeight="1">
      <c r="A41" s="1" t="s">
        <v>61</v>
      </c>
      <c r="B41" s="1" t="s">
        <v>62</v>
      </c>
      <c r="C41" s="1" t="s">
        <v>18</v>
      </c>
      <c r="D41" s="1" t="s">
        <v>63</v>
      </c>
      <c r="E41" s="1" t="s">
        <v>20</v>
      </c>
      <c r="F41" s="1" t="s">
        <v>64</v>
      </c>
      <c r="G41" s="1" t="s">
        <v>65</v>
      </c>
      <c r="H41" s="1" t="s">
        <v>55</v>
      </c>
      <c r="I41" s="1" t="s">
        <v>56</v>
      </c>
      <c r="J41" s="1" t="s">
        <v>34</v>
      </c>
      <c r="K41" s="1" t="s">
        <v>35</v>
      </c>
      <c r="L41" s="1" t="s">
        <v>94</v>
      </c>
      <c r="M41" s="1" t="s">
        <v>75</v>
      </c>
      <c r="N41" s="1" t="s">
        <v>91</v>
      </c>
      <c r="O41" s="2"/>
      <c r="P41" s="2"/>
      <c r="Q41" s="2"/>
    </row>
    <row r="42" spans="1:17" ht="84" customHeight="1">
      <c r="A42" s="1" t="s">
        <v>95</v>
      </c>
      <c r="B42" s="1" t="s">
        <v>62</v>
      </c>
      <c r="C42" s="1" t="s">
        <v>96</v>
      </c>
      <c r="D42" s="1" t="s">
        <v>97</v>
      </c>
      <c r="E42" s="1" t="s">
        <v>98</v>
      </c>
      <c r="F42" s="1" t="s">
        <v>99</v>
      </c>
      <c r="G42" s="1" t="s">
        <v>100</v>
      </c>
      <c r="H42" s="1" t="s">
        <v>23</v>
      </c>
      <c r="I42" s="1" t="s">
        <v>24</v>
      </c>
      <c r="J42" s="1" t="s">
        <v>25</v>
      </c>
      <c r="K42" s="1" t="s">
        <v>26</v>
      </c>
      <c r="L42" s="1" t="s">
        <v>101</v>
      </c>
      <c r="M42" s="1" t="s">
        <v>75</v>
      </c>
      <c r="N42" s="1" t="s">
        <v>102</v>
      </c>
      <c r="O42" s="2"/>
      <c r="P42" s="2"/>
      <c r="Q42" s="2"/>
    </row>
    <row r="43" spans="1:17" ht="84" customHeight="1">
      <c r="A43" s="1" t="s">
        <v>95</v>
      </c>
      <c r="B43" s="1" t="s">
        <v>62</v>
      </c>
      <c r="C43" s="1" t="s">
        <v>96</v>
      </c>
      <c r="D43" s="1" t="s">
        <v>97</v>
      </c>
      <c r="E43" s="1" t="s">
        <v>98</v>
      </c>
      <c r="F43" s="1" t="s">
        <v>99</v>
      </c>
      <c r="G43" s="1" t="s">
        <v>100</v>
      </c>
      <c r="H43" s="1" t="s">
        <v>23</v>
      </c>
      <c r="I43" s="1" t="s">
        <v>24</v>
      </c>
      <c r="J43" s="1" t="s">
        <v>29</v>
      </c>
      <c r="K43" s="1" t="s">
        <v>30</v>
      </c>
      <c r="L43" s="1" t="s">
        <v>103</v>
      </c>
      <c r="M43" s="1"/>
      <c r="N43" s="1" t="s">
        <v>102</v>
      </c>
      <c r="O43" s="2"/>
      <c r="P43" s="2"/>
      <c r="Q43" s="2"/>
    </row>
    <row r="44" spans="1:17" ht="84" customHeight="1">
      <c r="A44" s="1" t="s">
        <v>95</v>
      </c>
      <c r="B44" s="1" t="s">
        <v>62</v>
      </c>
      <c r="C44" s="1" t="s">
        <v>96</v>
      </c>
      <c r="D44" s="1" t="s">
        <v>97</v>
      </c>
      <c r="E44" s="1" t="s">
        <v>98</v>
      </c>
      <c r="F44" s="1" t="s">
        <v>99</v>
      </c>
      <c r="G44" s="1" t="s">
        <v>100</v>
      </c>
      <c r="H44" s="1" t="s">
        <v>23</v>
      </c>
      <c r="I44" s="1" t="s">
        <v>24</v>
      </c>
      <c r="J44" s="1" t="s">
        <v>31</v>
      </c>
      <c r="K44" s="1" t="s">
        <v>32</v>
      </c>
      <c r="L44" s="1" t="s">
        <v>104</v>
      </c>
      <c r="M44" s="1" t="s">
        <v>75</v>
      </c>
      <c r="N44" s="1" t="s">
        <v>102</v>
      </c>
      <c r="O44" s="2"/>
      <c r="P44" s="2"/>
      <c r="Q44" s="2"/>
    </row>
    <row r="45" spans="1:17" ht="84" customHeight="1">
      <c r="A45" s="1" t="s">
        <v>95</v>
      </c>
      <c r="B45" s="1" t="s">
        <v>62</v>
      </c>
      <c r="C45" s="1" t="s">
        <v>96</v>
      </c>
      <c r="D45" s="1" t="s">
        <v>97</v>
      </c>
      <c r="E45" s="1" t="s">
        <v>98</v>
      </c>
      <c r="F45" s="1" t="s">
        <v>99</v>
      </c>
      <c r="G45" s="1" t="s">
        <v>100</v>
      </c>
      <c r="H45" s="1" t="s">
        <v>23</v>
      </c>
      <c r="I45" s="1" t="s">
        <v>24</v>
      </c>
      <c r="J45" s="1" t="s">
        <v>34</v>
      </c>
      <c r="K45" s="1" t="s">
        <v>35</v>
      </c>
      <c r="L45" s="1" t="s">
        <v>105</v>
      </c>
      <c r="M45" s="1" t="s">
        <v>75</v>
      </c>
      <c r="N45" s="1" t="s">
        <v>102</v>
      </c>
      <c r="O45" s="2"/>
      <c r="P45" s="2"/>
      <c r="Q45" s="2"/>
    </row>
    <row r="46" spans="1:17" ht="84" customHeight="1">
      <c r="A46" s="1" t="s">
        <v>95</v>
      </c>
      <c r="B46" s="1" t="s">
        <v>62</v>
      </c>
      <c r="C46" s="1" t="s">
        <v>96</v>
      </c>
      <c r="D46" s="1" t="s">
        <v>97</v>
      </c>
      <c r="E46" s="1" t="s">
        <v>98</v>
      </c>
      <c r="F46" s="1" t="s">
        <v>99</v>
      </c>
      <c r="G46" s="1" t="s">
        <v>100</v>
      </c>
      <c r="H46" s="1" t="s">
        <v>37</v>
      </c>
      <c r="I46" s="1" t="s">
        <v>38</v>
      </c>
      <c r="J46" s="1" t="s">
        <v>25</v>
      </c>
      <c r="K46" s="1" t="s">
        <v>26</v>
      </c>
      <c r="L46" s="1" t="s">
        <v>106</v>
      </c>
      <c r="M46" s="1" t="s">
        <v>75</v>
      </c>
      <c r="N46" s="1" t="s">
        <v>107</v>
      </c>
      <c r="O46" s="2"/>
      <c r="P46" s="2"/>
      <c r="Q46" s="2"/>
    </row>
    <row r="47" spans="1:17" ht="84" customHeight="1">
      <c r="A47" s="1" t="s">
        <v>95</v>
      </c>
      <c r="B47" s="1" t="s">
        <v>62</v>
      </c>
      <c r="C47" s="1" t="s">
        <v>96</v>
      </c>
      <c r="D47" s="1" t="s">
        <v>97</v>
      </c>
      <c r="E47" s="1" t="s">
        <v>98</v>
      </c>
      <c r="F47" s="1" t="s">
        <v>99</v>
      </c>
      <c r="G47" s="1" t="s">
        <v>100</v>
      </c>
      <c r="H47" s="1" t="s">
        <v>37</v>
      </c>
      <c r="I47" s="1" t="s">
        <v>38</v>
      </c>
      <c r="J47" s="1" t="s">
        <v>29</v>
      </c>
      <c r="K47" s="1" t="s">
        <v>30</v>
      </c>
      <c r="L47" s="1" t="s">
        <v>108</v>
      </c>
      <c r="M47" s="1"/>
      <c r="N47" s="1" t="s">
        <v>107</v>
      </c>
      <c r="O47" s="2"/>
      <c r="P47" s="2"/>
      <c r="Q47" s="2"/>
    </row>
    <row r="48" spans="1:17" ht="84" customHeight="1">
      <c r="A48" s="1" t="s">
        <v>95</v>
      </c>
      <c r="B48" s="1" t="s">
        <v>62</v>
      </c>
      <c r="C48" s="1" t="s">
        <v>96</v>
      </c>
      <c r="D48" s="1" t="s">
        <v>97</v>
      </c>
      <c r="E48" s="1" t="s">
        <v>98</v>
      </c>
      <c r="F48" s="1" t="s">
        <v>99</v>
      </c>
      <c r="G48" s="1" t="s">
        <v>100</v>
      </c>
      <c r="H48" s="1" t="s">
        <v>37</v>
      </c>
      <c r="I48" s="1" t="s">
        <v>38</v>
      </c>
      <c r="J48" s="1" t="s">
        <v>31</v>
      </c>
      <c r="K48" s="1" t="s">
        <v>32</v>
      </c>
      <c r="L48" s="1" t="s">
        <v>109</v>
      </c>
      <c r="M48" s="1" t="s">
        <v>75</v>
      </c>
      <c r="N48" s="1" t="s">
        <v>107</v>
      </c>
      <c r="O48" s="2"/>
      <c r="P48" s="2"/>
      <c r="Q48" s="2"/>
    </row>
    <row r="49" spans="1:17" ht="84" customHeight="1">
      <c r="A49" s="1" t="s">
        <v>95</v>
      </c>
      <c r="B49" s="1" t="s">
        <v>62</v>
      </c>
      <c r="C49" s="1" t="s">
        <v>96</v>
      </c>
      <c r="D49" s="1" t="s">
        <v>97</v>
      </c>
      <c r="E49" s="1" t="s">
        <v>98</v>
      </c>
      <c r="F49" s="1" t="s">
        <v>99</v>
      </c>
      <c r="G49" s="1" t="s">
        <v>100</v>
      </c>
      <c r="H49" s="1" t="s">
        <v>37</v>
      </c>
      <c r="I49" s="1" t="s">
        <v>38</v>
      </c>
      <c r="J49" s="1" t="s">
        <v>34</v>
      </c>
      <c r="K49" s="1" t="s">
        <v>35</v>
      </c>
      <c r="L49" s="1" t="s">
        <v>110</v>
      </c>
      <c r="M49" s="1" t="s">
        <v>75</v>
      </c>
      <c r="N49" s="1" t="s">
        <v>107</v>
      </c>
      <c r="O49" s="2"/>
      <c r="P49" s="2"/>
      <c r="Q49" s="2"/>
    </row>
    <row r="50" spans="1:17" ht="84" customHeight="1">
      <c r="A50" s="1" t="s">
        <v>95</v>
      </c>
      <c r="B50" s="1" t="s">
        <v>62</v>
      </c>
      <c r="C50" s="1" t="s">
        <v>96</v>
      </c>
      <c r="D50" s="1" t="s">
        <v>97</v>
      </c>
      <c r="E50" s="1" t="s">
        <v>98</v>
      </c>
      <c r="F50" s="1" t="s">
        <v>99</v>
      </c>
      <c r="G50" s="1" t="s">
        <v>100</v>
      </c>
      <c r="H50" s="1" t="s">
        <v>43</v>
      </c>
      <c r="I50" s="1" t="s">
        <v>44</v>
      </c>
      <c r="J50" s="1" t="s">
        <v>25</v>
      </c>
      <c r="K50" s="1" t="s">
        <v>26</v>
      </c>
      <c r="L50" s="1" t="s">
        <v>111</v>
      </c>
      <c r="M50" s="1" t="s">
        <v>75</v>
      </c>
      <c r="N50" s="1" t="s">
        <v>257</v>
      </c>
      <c r="O50" s="2"/>
      <c r="P50" s="2"/>
      <c r="Q50" s="2"/>
    </row>
    <row r="51" spans="1:17" ht="84" customHeight="1">
      <c r="A51" s="1" t="s">
        <v>95</v>
      </c>
      <c r="B51" s="1" t="s">
        <v>62</v>
      </c>
      <c r="C51" s="1" t="s">
        <v>96</v>
      </c>
      <c r="D51" s="1" t="s">
        <v>97</v>
      </c>
      <c r="E51" s="1" t="s">
        <v>98</v>
      </c>
      <c r="F51" s="1" t="s">
        <v>99</v>
      </c>
      <c r="G51" s="1" t="s">
        <v>100</v>
      </c>
      <c r="H51" s="1" t="s">
        <v>43</v>
      </c>
      <c r="I51" s="1" t="s">
        <v>44</v>
      </c>
      <c r="J51" s="1" t="s">
        <v>29</v>
      </c>
      <c r="K51" s="1" t="s">
        <v>30</v>
      </c>
      <c r="L51" s="1" t="s">
        <v>113</v>
      </c>
      <c r="M51" s="1"/>
      <c r="N51" s="1" t="s">
        <v>112</v>
      </c>
      <c r="O51" s="2"/>
      <c r="P51" s="2"/>
      <c r="Q51" s="2"/>
    </row>
    <row r="52" spans="1:17" ht="84" customHeight="1">
      <c r="A52" s="1" t="s">
        <v>95</v>
      </c>
      <c r="B52" s="1" t="s">
        <v>62</v>
      </c>
      <c r="C52" s="1" t="s">
        <v>96</v>
      </c>
      <c r="D52" s="1" t="s">
        <v>97</v>
      </c>
      <c r="E52" s="1" t="s">
        <v>98</v>
      </c>
      <c r="F52" s="1" t="s">
        <v>99</v>
      </c>
      <c r="G52" s="1" t="s">
        <v>100</v>
      </c>
      <c r="H52" s="1" t="s">
        <v>43</v>
      </c>
      <c r="I52" s="1" t="s">
        <v>44</v>
      </c>
      <c r="J52" s="1" t="s">
        <v>31</v>
      </c>
      <c r="K52" s="1" t="s">
        <v>32</v>
      </c>
      <c r="L52" s="1" t="s">
        <v>114</v>
      </c>
      <c r="M52" s="1" t="s">
        <v>75</v>
      </c>
      <c r="N52" s="1" t="s">
        <v>112</v>
      </c>
      <c r="O52" s="2"/>
      <c r="P52" s="2"/>
      <c r="Q52" s="2"/>
    </row>
    <row r="53" spans="1:17" ht="84" customHeight="1">
      <c r="A53" s="1" t="s">
        <v>95</v>
      </c>
      <c r="B53" s="1" t="s">
        <v>62</v>
      </c>
      <c r="C53" s="1" t="s">
        <v>96</v>
      </c>
      <c r="D53" s="1" t="s">
        <v>97</v>
      </c>
      <c r="E53" s="1" t="s">
        <v>98</v>
      </c>
      <c r="F53" s="1" t="s">
        <v>99</v>
      </c>
      <c r="G53" s="1" t="s">
        <v>100</v>
      </c>
      <c r="H53" s="1" t="s">
        <v>43</v>
      </c>
      <c r="I53" s="1" t="s">
        <v>44</v>
      </c>
      <c r="J53" s="1" t="s">
        <v>34</v>
      </c>
      <c r="K53" s="1" t="s">
        <v>35</v>
      </c>
      <c r="L53" s="1" t="s">
        <v>115</v>
      </c>
      <c r="M53" s="1" t="s">
        <v>75</v>
      </c>
      <c r="N53" s="1" t="s">
        <v>112</v>
      </c>
      <c r="O53" s="2"/>
      <c r="P53" s="2"/>
      <c r="Q53" s="2"/>
    </row>
    <row r="54" spans="1:17" ht="84" customHeight="1">
      <c r="A54" s="1" t="s">
        <v>95</v>
      </c>
      <c r="B54" s="1" t="s">
        <v>62</v>
      </c>
      <c r="C54" s="1" t="s">
        <v>96</v>
      </c>
      <c r="D54" s="1" t="s">
        <v>97</v>
      </c>
      <c r="E54" s="1" t="s">
        <v>98</v>
      </c>
      <c r="F54" s="1" t="s">
        <v>99</v>
      </c>
      <c r="G54" s="1" t="s">
        <v>100</v>
      </c>
      <c r="H54" s="1" t="s">
        <v>49</v>
      </c>
      <c r="I54" s="1" t="s">
        <v>50</v>
      </c>
      <c r="J54" s="1" t="s">
        <v>25</v>
      </c>
      <c r="K54" s="1" t="s">
        <v>26</v>
      </c>
      <c r="L54" s="1" t="s">
        <v>116</v>
      </c>
      <c r="M54" s="1" t="s">
        <v>75</v>
      </c>
      <c r="N54" s="1" t="s">
        <v>117</v>
      </c>
      <c r="O54" s="2"/>
      <c r="P54" s="2"/>
      <c r="Q54" s="2"/>
    </row>
    <row r="55" spans="1:17" ht="84" customHeight="1">
      <c r="A55" s="1" t="s">
        <v>95</v>
      </c>
      <c r="B55" s="1" t="s">
        <v>62</v>
      </c>
      <c r="C55" s="1" t="s">
        <v>96</v>
      </c>
      <c r="D55" s="1" t="s">
        <v>97</v>
      </c>
      <c r="E55" s="1" t="s">
        <v>98</v>
      </c>
      <c r="F55" s="1" t="s">
        <v>99</v>
      </c>
      <c r="G55" s="1" t="s">
        <v>100</v>
      </c>
      <c r="H55" s="1" t="s">
        <v>49</v>
      </c>
      <c r="I55" s="1" t="s">
        <v>50</v>
      </c>
      <c r="J55" s="1" t="s">
        <v>29</v>
      </c>
      <c r="K55" s="1" t="s">
        <v>30</v>
      </c>
      <c r="L55" s="1" t="s">
        <v>118</v>
      </c>
      <c r="M55" s="1"/>
      <c r="N55" s="1" t="s">
        <v>117</v>
      </c>
      <c r="O55" s="2"/>
      <c r="P55" s="2"/>
      <c r="Q55" s="2"/>
    </row>
    <row r="56" spans="1:17" ht="84" customHeight="1">
      <c r="A56" s="1" t="s">
        <v>95</v>
      </c>
      <c r="B56" s="1" t="s">
        <v>62</v>
      </c>
      <c r="C56" s="1" t="s">
        <v>96</v>
      </c>
      <c r="D56" s="1" t="s">
        <v>97</v>
      </c>
      <c r="E56" s="1" t="s">
        <v>98</v>
      </c>
      <c r="F56" s="1" t="s">
        <v>99</v>
      </c>
      <c r="G56" s="1" t="s">
        <v>100</v>
      </c>
      <c r="H56" s="1" t="s">
        <v>49</v>
      </c>
      <c r="I56" s="1" t="s">
        <v>50</v>
      </c>
      <c r="J56" s="1" t="s">
        <v>31</v>
      </c>
      <c r="K56" s="1" t="s">
        <v>32</v>
      </c>
      <c r="L56" s="1" t="s">
        <v>119</v>
      </c>
      <c r="M56" s="1" t="s">
        <v>75</v>
      </c>
      <c r="N56" s="1" t="s">
        <v>117</v>
      </c>
      <c r="O56" s="2"/>
      <c r="P56" s="2"/>
      <c r="Q56" s="2"/>
    </row>
    <row r="57" spans="1:17" ht="84" customHeight="1">
      <c r="A57" s="1" t="s">
        <v>95</v>
      </c>
      <c r="B57" s="1" t="s">
        <v>62</v>
      </c>
      <c r="C57" s="1" t="s">
        <v>96</v>
      </c>
      <c r="D57" s="1" t="s">
        <v>97</v>
      </c>
      <c r="E57" s="1" t="s">
        <v>98</v>
      </c>
      <c r="F57" s="1" t="s">
        <v>99</v>
      </c>
      <c r="G57" s="1" t="s">
        <v>100</v>
      </c>
      <c r="H57" s="1" t="s">
        <v>49</v>
      </c>
      <c r="I57" s="1" t="s">
        <v>50</v>
      </c>
      <c r="J57" s="1" t="s">
        <v>34</v>
      </c>
      <c r="K57" s="1" t="s">
        <v>35</v>
      </c>
      <c r="L57" s="1" t="s">
        <v>120</v>
      </c>
      <c r="M57" s="1" t="s">
        <v>75</v>
      </c>
      <c r="N57" s="1" t="s">
        <v>117</v>
      </c>
      <c r="O57" s="2"/>
      <c r="P57" s="2"/>
      <c r="Q57" s="2"/>
    </row>
    <row r="58" spans="1:17" ht="84" customHeight="1">
      <c r="A58" s="1" t="s">
        <v>95</v>
      </c>
      <c r="B58" s="1" t="s">
        <v>62</v>
      </c>
      <c r="C58" s="1" t="s">
        <v>96</v>
      </c>
      <c r="D58" s="1" t="s">
        <v>97</v>
      </c>
      <c r="E58" s="1" t="s">
        <v>98</v>
      </c>
      <c r="F58" s="1" t="s">
        <v>99</v>
      </c>
      <c r="G58" s="1" t="s">
        <v>100</v>
      </c>
      <c r="H58" s="1" t="s">
        <v>55</v>
      </c>
      <c r="I58" s="1" t="s">
        <v>56</v>
      </c>
      <c r="J58" s="1" t="s">
        <v>25</v>
      </c>
      <c r="K58" s="1" t="s">
        <v>26</v>
      </c>
      <c r="L58" s="1" t="s">
        <v>121</v>
      </c>
      <c r="M58" s="1" t="s">
        <v>75</v>
      </c>
      <c r="N58" s="1" t="s">
        <v>122</v>
      </c>
      <c r="O58" s="2"/>
      <c r="P58" s="2"/>
      <c r="Q58" s="2"/>
    </row>
    <row r="59" spans="1:17" ht="84" customHeight="1">
      <c r="A59" s="1" t="s">
        <v>95</v>
      </c>
      <c r="B59" s="1" t="s">
        <v>62</v>
      </c>
      <c r="C59" s="1" t="s">
        <v>96</v>
      </c>
      <c r="D59" s="1" t="s">
        <v>97</v>
      </c>
      <c r="E59" s="1" t="s">
        <v>98</v>
      </c>
      <c r="F59" s="1" t="s">
        <v>99</v>
      </c>
      <c r="G59" s="1" t="s">
        <v>100</v>
      </c>
      <c r="H59" s="1" t="s">
        <v>55</v>
      </c>
      <c r="I59" s="1" t="s">
        <v>56</v>
      </c>
      <c r="J59" s="1" t="s">
        <v>29</v>
      </c>
      <c r="K59" s="1" t="s">
        <v>30</v>
      </c>
      <c r="L59" s="1" t="s">
        <v>123</v>
      </c>
      <c r="M59" s="1"/>
      <c r="N59" s="1" t="s">
        <v>122</v>
      </c>
      <c r="O59" s="2"/>
      <c r="P59" s="2"/>
      <c r="Q59" s="2"/>
    </row>
    <row r="60" spans="1:17" ht="84" customHeight="1">
      <c r="A60" s="1" t="s">
        <v>95</v>
      </c>
      <c r="B60" s="1" t="s">
        <v>62</v>
      </c>
      <c r="C60" s="1" t="s">
        <v>96</v>
      </c>
      <c r="D60" s="1" t="s">
        <v>97</v>
      </c>
      <c r="E60" s="1" t="s">
        <v>98</v>
      </c>
      <c r="F60" s="1" t="s">
        <v>99</v>
      </c>
      <c r="G60" s="1" t="s">
        <v>100</v>
      </c>
      <c r="H60" s="1" t="s">
        <v>55</v>
      </c>
      <c r="I60" s="1" t="s">
        <v>56</v>
      </c>
      <c r="J60" s="1" t="s">
        <v>31</v>
      </c>
      <c r="K60" s="1" t="s">
        <v>32</v>
      </c>
      <c r="L60" s="1" t="s">
        <v>124</v>
      </c>
      <c r="M60" s="1" t="s">
        <v>75</v>
      </c>
      <c r="N60" s="1" t="s">
        <v>122</v>
      </c>
      <c r="O60" s="2"/>
      <c r="P60" s="2"/>
      <c r="Q60" s="2"/>
    </row>
    <row r="61" spans="1:17" ht="84" customHeight="1">
      <c r="A61" s="1" t="s">
        <v>95</v>
      </c>
      <c r="B61" s="1" t="s">
        <v>62</v>
      </c>
      <c r="C61" s="1" t="s">
        <v>96</v>
      </c>
      <c r="D61" s="1" t="s">
        <v>97</v>
      </c>
      <c r="E61" s="1" t="s">
        <v>98</v>
      </c>
      <c r="F61" s="1" t="s">
        <v>99</v>
      </c>
      <c r="G61" s="1" t="s">
        <v>100</v>
      </c>
      <c r="H61" s="1" t="s">
        <v>55</v>
      </c>
      <c r="I61" s="1" t="s">
        <v>56</v>
      </c>
      <c r="J61" s="1" t="s">
        <v>34</v>
      </c>
      <c r="K61" s="1" t="s">
        <v>35</v>
      </c>
      <c r="L61" s="1" t="s">
        <v>125</v>
      </c>
      <c r="M61" s="1" t="s">
        <v>75</v>
      </c>
      <c r="N61" s="1" t="s">
        <v>122</v>
      </c>
      <c r="O61" s="2"/>
      <c r="P61" s="2"/>
      <c r="Q61" s="2"/>
    </row>
    <row r="62" spans="1:17" ht="84" customHeight="1">
      <c r="A62" s="1" t="s">
        <v>126</v>
      </c>
      <c r="B62" s="1" t="s">
        <v>127</v>
      </c>
      <c r="C62" s="1" t="s">
        <v>128</v>
      </c>
      <c r="D62" s="1" t="s">
        <v>129</v>
      </c>
      <c r="E62" s="1" t="s">
        <v>130</v>
      </c>
      <c r="F62" s="1" t="s">
        <v>131</v>
      </c>
      <c r="G62" s="1" t="s">
        <v>132</v>
      </c>
      <c r="H62" s="1" t="s">
        <v>23</v>
      </c>
      <c r="I62" s="1" t="s">
        <v>24</v>
      </c>
      <c r="J62" s="1" t="s">
        <v>25</v>
      </c>
      <c r="K62" s="1" t="s">
        <v>26</v>
      </c>
      <c r="L62" s="1" t="s">
        <v>133</v>
      </c>
      <c r="M62" s="1" t="s">
        <v>75</v>
      </c>
      <c r="N62" s="1" t="s">
        <v>134</v>
      </c>
      <c r="O62" s="2"/>
      <c r="P62" s="2"/>
      <c r="Q62" s="2"/>
    </row>
    <row r="63" spans="1:17" ht="84" customHeight="1">
      <c r="A63" s="1" t="s">
        <v>126</v>
      </c>
      <c r="B63" s="1" t="s">
        <v>127</v>
      </c>
      <c r="C63" s="1" t="s">
        <v>128</v>
      </c>
      <c r="D63" s="1" t="s">
        <v>129</v>
      </c>
      <c r="E63" s="1" t="s">
        <v>130</v>
      </c>
      <c r="F63" s="1" t="s">
        <v>131</v>
      </c>
      <c r="G63" s="1" t="s">
        <v>132</v>
      </c>
      <c r="H63" s="1" t="s">
        <v>23</v>
      </c>
      <c r="I63" s="1" t="s">
        <v>24</v>
      </c>
      <c r="J63" s="1" t="s">
        <v>29</v>
      </c>
      <c r="K63" s="1" t="s">
        <v>30</v>
      </c>
      <c r="L63" s="1" t="s">
        <v>135</v>
      </c>
      <c r="M63" s="1"/>
      <c r="N63" s="1" t="s">
        <v>134</v>
      </c>
      <c r="O63" s="2"/>
      <c r="P63" s="2"/>
      <c r="Q63" s="2"/>
    </row>
    <row r="64" spans="1:17" ht="84" customHeight="1">
      <c r="A64" s="1" t="s">
        <v>126</v>
      </c>
      <c r="B64" s="1" t="s">
        <v>127</v>
      </c>
      <c r="C64" s="1" t="s">
        <v>128</v>
      </c>
      <c r="D64" s="1" t="s">
        <v>129</v>
      </c>
      <c r="E64" s="1" t="s">
        <v>130</v>
      </c>
      <c r="F64" s="1" t="s">
        <v>131</v>
      </c>
      <c r="G64" s="1" t="s">
        <v>132</v>
      </c>
      <c r="H64" s="1" t="s">
        <v>23</v>
      </c>
      <c r="I64" s="1" t="s">
        <v>24</v>
      </c>
      <c r="J64" s="1" t="s">
        <v>31</v>
      </c>
      <c r="K64" s="1" t="s">
        <v>32</v>
      </c>
      <c r="L64" s="1" t="s">
        <v>136</v>
      </c>
      <c r="M64" s="1" t="s">
        <v>75</v>
      </c>
      <c r="N64" s="1" t="s">
        <v>134</v>
      </c>
      <c r="O64" s="2"/>
      <c r="P64" s="2"/>
      <c r="Q64" s="2"/>
    </row>
    <row r="65" spans="1:17" ht="84" customHeight="1">
      <c r="A65" s="1" t="s">
        <v>126</v>
      </c>
      <c r="B65" s="1" t="s">
        <v>127</v>
      </c>
      <c r="C65" s="1" t="s">
        <v>128</v>
      </c>
      <c r="D65" s="1" t="s">
        <v>129</v>
      </c>
      <c r="E65" s="1" t="s">
        <v>130</v>
      </c>
      <c r="F65" s="1" t="s">
        <v>131</v>
      </c>
      <c r="G65" s="1" t="s">
        <v>132</v>
      </c>
      <c r="H65" s="1" t="s">
        <v>23</v>
      </c>
      <c r="I65" s="1" t="s">
        <v>24</v>
      </c>
      <c r="J65" s="1" t="s">
        <v>34</v>
      </c>
      <c r="K65" s="1" t="s">
        <v>35</v>
      </c>
      <c r="L65" s="1" t="s">
        <v>137</v>
      </c>
      <c r="M65" s="1" t="s">
        <v>75</v>
      </c>
      <c r="N65" s="1" t="s">
        <v>134</v>
      </c>
      <c r="O65" s="2"/>
      <c r="P65" s="2"/>
      <c r="Q65" s="2"/>
    </row>
    <row r="66" spans="1:17" ht="84" customHeight="1">
      <c r="A66" s="1" t="s">
        <v>126</v>
      </c>
      <c r="B66" s="1" t="s">
        <v>127</v>
      </c>
      <c r="C66" s="1" t="s">
        <v>128</v>
      </c>
      <c r="D66" s="1" t="s">
        <v>129</v>
      </c>
      <c r="E66" s="1" t="s">
        <v>130</v>
      </c>
      <c r="F66" s="1" t="s">
        <v>131</v>
      </c>
      <c r="G66" s="1" t="s">
        <v>132</v>
      </c>
      <c r="H66" s="1" t="s">
        <v>37</v>
      </c>
      <c r="I66" s="1" t="s">
        <v>38</v>
      </c>
      <c r="J66" s="1" t="s">
        <v>25</v>
      </c>
      <c r="K66" s="1" t="s">
        <v>26</v>
      </c>
      <c r="L66" s="1" t="s">
        <v>138</v>
      </c>
      <c r="M66" s="1" t="s">
        <v>75</v>
      </c>
      <c r="N66" s="1" t="s">
        <v>139</v>
      </c>
      <c r="O66" s="2"/>
      <c r="P66" s="2"/>
      <c r="Q66" s="2"/>
    </row>
    <row r="67" spans="1:17" ht="84" customHeight="1">
      <c r="A67" s="1" t="s">
        <v>126</v>
      </c>
      <c r="B67" s="1" t="s">
        <v>127</v>
      </c>
      <c r="C67" s="1" t="s">
        <v>128</v>
      </c>
      <c r="D67" s="1" t="s">
        <v>129</v>
      </c>
      <c r="E67" s="1" t="s">
        <v>130</v>
      </c>
      <c r="F67" s="1" t="s">
        <v>131</v>
      </c>
      <c r="G67" s="1" t="s">
        <v>132</v>
      </c>
      <c r="H67" s="1" t="s">
        <v>37</v>
      </c>
      <c r="I67" s="1" t="s">
        <v>38</v>
      </c>
      <c r="J67" s="1" t="s">
        <v>29</v>
      </c>
      <c r="K67" s="1" t="s">
        <v>30</v>
      </c>
      <c r="L67" s="1" t="s">
        <v>140</v>
      </c>
      <c r="M67" s="1"/>
      <c r="N67" s="1" t="s">
        <v>139</v>
      </c>
      <c r="O67" s="2"/>
      <c r="P67" s="2"/>
      <c r="Q67" s="2"/>
    </row>
    <row r="68" spans="1:17" ht="84" customHeight="1">
      <c r="A68" s="1" t="s">
        <v>126</v>
      </c>
      <c r="B68" s="1" t="s">
        <v>127</v>
      </c>
      <c r="C68" s="1" t="s">
        <v>128</v>
      </c>
      <c r="D68" s="1" t="s">
        <v>129</v>
      </c>
      <c r="E68" s="1" t="s">
        <v>130</v>
      </c>
      <c r="F68" s="1" t="s">
        <v>131</v>
      </c>
      <c r="G68" s="1" t="s">
        <v>132</v>
      </c>
      <c r="H68" s="1" t="s">
        <v>37</v>
      </c>
      <c r="I68" s="1" t="s">
        <v>38</v>
      </c>
      <c r="J68" s="1" t="s">
        <v>31</v>
      </c>
      <c r="K68" s="1" t="s">
        <v>32</v>
      </c>
      <c r="L68" s="1" t="s">
        <v>141</v>
      </c>
      <c r="M68" s="1" t="s">
        <v>75</v>
      </c>
      <c r="N68" s="1" t="s">
        <v>139</v>
      </c>
      <c r="O68" s="2"/>
      <c r="P68" s="2"/>
      <c r="Q68" s="2"/>
    </row>
    <row r="69" spans="1:17" ht="84" customHeight="1">
      <c r="A69" s="1" t="s">
        <v>126</v>
      </c>
      <c r="B69" s="1" t="s">
        <v>127</v>
      </c>
      <c r="C69" s="1" t="s">
        <v>128</v>
      </c>
      <c r="D69" s="1" t="s">
        <v>129</v>
      </c>
      <c r="E69" s="1" t="s">
        <v>130</v>
      </c>
      <c r="F69" s="1" t="s">
        <v>131</v>
      </c>
      <c r="G69" s="1" t="s">
        <v>132</v>
      </c>
      <c r="H69" s="1" t="s">
        <v>37</v>
      </c>
      <c r="I69" s="1" t="s">
        <v>38</v>
      </c>
      <c r="J69" s="1" t="s">
        <v>34</v>
      </c>
      <c r="K69" s="1" t="s">
        <v>35</v>
      </c>
      <c r="L69" s="1" t="s">
        <v>142</v>
      </c>
      <c r="M69" s="1" t="s">
        <v>75</v>
      </c>
      <c r="N69" s="1" t="s">
        <v>139</v>
      </c>
      <c r="O69" s="2"/>
      <c r="P69" s="2"/>
      <c r="Q69" s="2"/>
    </row>
    <row r="70" spans="1:17" ht="84" customHeight="1">
      <c r="A70" s="1" t="s">
        <v>126</v>
      </c>
      <c r="B70" s="1" t="s">
        <v>127</v>
      </c>
      <c r="C70" s="1" t="s">
        <v>128</v>
      </c>
      <c r="D70" s="1" t="s">
        <v>129</v>
      </c>
      <c r="E70" s="1" t="s">
        <v>130</v>
      </c>
      <c r="F70" s="1" t="s">
        <v>131</v>
      </c>
      <c r="G70" s="1" t="s">
        <v>132</v>
      </c>
      <c r="H70" s="1" t="s">
        <v>43</v>
      </c>
      <c r="I70" s="1" t="s">
        <v>44</v>
      </c>
      <c r="J70" s="1" t="s">
        <v>25</v>
      </c>
      <c r="K70" s="1" t="s">
        <v>26</v>
      </c>
      <c r="L70" s="1" t="s">
        <v>143</v>
      </c>
      <c r="M70" s="1" t="s">
        <v>75</v>
      </c>
      <c r="N70" s="1" t="s">
        <v>144</v>
      </c>
      <c r="O70" s="2"/>
      <c r="P70" s="2"/>
      <c r="Q70" s="2"/>
    </row>
    <row r="71" spans="1:17" ht="84" customHeight="1">
      <c r="A71" s="1" t="s">
        <v>126</v>
      </c>
      <c r="B71" s="1" t="s">
        <v>127</v>
      </c>
      <c r="C71" s="1" t="s">
        <v>128</v>
      </c>
      <c r="D71" s="1" t="s">
        <v>129</v>
      </c>
      <c r="E71" s="1" t="s">
        <v>130</v>
      </c>
      <c r="F71" s="1" t="s">
        <v>131</v>
      </c>
      <c r="G71" s="1" t="s">
        <v>132</v>
      </c>
      <c r="H71" s="1" t="s">
        <v>43</v>
      </c>
      <c r="I71" s="1" t="s">
        <v>44</v>
      </c>
      <c r="J71" s="1" t="s">
        <v>29</v>
      </c>
      <c r="K71" s="1" t="s">
        <v>30</v>
      </c>
      <c r="L71" s="1" t="s">
        <v>145</v>
      </c>
      <c r="M71" s="1"/>
      <c r="N71" s="1" t="s">
        <v>144</v>
      </c>
      <c r="O71" s="2"/>
      <c r="P71" s="2"/>
      <c r="Q71" s="2"/>
    </row>
    <row r="72" spans="1:17" ht="84" customHeight="1">
      <c r="A72" s="1" t="s">
        <v>126</v>
      </c>
      <c r="B72" s="1" t="s">
        <v>127</v>
      </c>
      <c r="C72" s="1" t="s">
        <v>128</v>
      </c>
      <c r="D72" s="1" t="s">
        <v>129</v>
      </c>
      <c r="E72" s="1" t="s">
        <v>130</v>
      </c>
      <c r="F72" s="1" t="s">
        <v>131</v>
      </c>
      <c r="G72" s="1" t="s">
        <v>132</v>
      </c>
      <c r="H72" s="1" t="s">
        <v>43</v>
      </c>
      <c r="I72" s="1" t="s">
        <v>44</v>
      </c>
      <c r="J72" s="1" t="s">
        <v>31</v>
      </c>
      <c r="K72" s="1" t="s">
        <v>32</v>
      </c>
      <c r="L72" s="1" t="s">
        <v>146</v>
      </c>
      <c r="M72" s="1" t="s">
        <v>75</v>
      </c>
      <c r="N72" s="1" t="s">
        <v>144</v>
      </c>
      <c r="O72" s="2"/>
      <c r="P72" s="2"/>
      <c r="Q72" s="2"/>
    </row>
    <row r="73" spans="1:17" ht="84" customHeight="1">
      <c r="A73" s="1" t="s">
        <v>126</v>
      </c>
      <c r="B73" s="1" t="s">
        <v>127</v>
      </c>
      <c r="C73" s="1" t="s">
        <v>128</v>
      </c>
      <c r="D73" s="1" t="s">
        <v>129</v>
      </c>
      <c r="E73" s="1" t="s">
        <v>130</v>
      </c>
      <c r="F73" s="1" t="s">
        <v>131</v>
      </c>
      <c r="G73" s="1" t="s">
        <v>132</v>
      </c>
      <c r="H73" s="1" t="s">
        <v>43</v>
      </c>
      <c r="I73" s="1" t="s">
        <v>44</v>
      </c>
      <c r="J73" s="1" t="s">
        <v>34</v>
      </c>
      <c r="K73" s="1" t="s">
        <v>35</v>
      </c>
      <c r="L73" s="1" t="s">
        <v>147</v>
      </c>
      <c r="M73" s="1" t="s">
        <v>75</v>
      </c>
      <c r="N73" s="1" t="s">
        <v>144</v>
      </c>
      <c r="O73" s="2"/>
      <c r="P73" s="2"/>
      <c r="Q73" s="2"/>
    </row>
    <row r="74" spans="1:17" ht="84" customHeight="1">
      <c r="A74" s="1" t="s">
        <v>126</v>
      </c>
      <c r="B74" s="1" t="s">
        <v>127</v>
      </c>
      <c r="C74" s="1" t="s">
        <v>128</v>
      </c>
      <c r="D74" s="1" t="s">
        <v>129</v>
      </c>
      <c r="E74" s="1" t="s">
        <v>130</v>
      </c>
      <c r="F74" s="1" t="s">
        <v>131</v>
      </c>
      <c r="G74" s="1" t="s">
        <v>132</v>
      </c>
      <c r="H74" s="1" t="s">
        <v>49</v>
      </c>
      <c r="I74" s="1" t="s">
        <v>50</v>
      </c>
      <c r="J74" s="1" t="s">
        <v>25</v>
      </c>
      <c r="K74" s="1" t="s">
        <v>26</v>
      </c>
      <c r="L74" s="1" t="s">
        <v>148</v>
      </c>
      <c r="M74" s="1" t="s">
        <v>75</v>
      </c>
      <c r="N74" s="1" t="s">
        <v>149</v>
      </c>
      <c r="O74" s="2"/>
      <c r="P74" s="2"/>
      <c r="Q74" s="2"/>
    </row>
    <row r="75" spans="1:17" ht="84" customHeight="1">
      <c r="A75" s="1" t="s">
        <v>126</v>
      </c>
      <c r="B75" s="1" t="s">
        <v>127</v>
      </c>
      <c r="C75" s="1" t="s">
        <v>128</v>
      </c>
      <c r="D75" s="1" t="s">
        <v>129</v>
      </c>
      <c r="E75" s="1" t="s">
        <v>130</v>
      </c>
      <c r="F75" s="1" t="s">
        <v>131</v>
      </c>
      <c r="G75" s="1" t="s">
        <v>132</v>
      </c>
      <c r="H75" s="1" t="s">
        <v>49</v>
      </c>
      <c r="I75" s="1" t="s">
        <v>50</v>
      </c>
      <c r="J75" s="1" t="s">
        <v>29</v>
      </c>
      <c r="K75" s="1" t="s">
        <v>30</v>
      </c>
      <c r="L75" s="1" t="s">
        <v>150</v>
      </c>
      <c r="M75" s="1"/>
      <c r="N75" s="1" t="s">
        <v>149</v>
      </c>
      <c r="O75" s="2"/>
      <c r="P75" s="2"/>
      <c r="Q75" s="2"/>
    </row>
    <row r="76" spans="1:17" ht="84" customHeight="1">
      <c r="A76" s="1" t="s">
        <v>126</v>
      </c>
      <c r="B76" s="1" t="s">
        <v>127</v>
      </c>
      <c r="C76" s="1" t="s">
        <v>128</v>
      </c>
      <c r="D76" s="1" t="s">
        <v>129</v>
      </c>
      <c r="E76" s="1" t="s">
        <v>130</v>
      </c>
      <c r="F76" s="1" t="s">
        <v>131</v>
      </c>
      <c r="G76" s="1" t="s">
        <v>132</v>
      </c>
      <c r="H76" s="1" t="s">
        <v>49</v>
      </c>
      <c r="I76" s="1" t="s">
        <v>50</v>
      </c>
      <c r="J76" s="1" t="s">
        <v>31</v>
      </c>
      <c r="K76" s="1" t="s">
        <v>32</v>
      </c>
      <c r="L76" s="1" t="s">
        <v>151</v>
      </c>
      <c r="M76" s="1" t="s">
        <v>75</v>
      </c>
      <c r="N76" s="1" t="s">
        <v>149</v>
      </c>
      <c r="O76" s="2"/>
      <c r="P76" s="2"/>
      <c r="Q76" s="2"/>
    </row>
    <row r="77" spans="1:17" ht="84" customHeight="1">
      <c r="A77" s="1" t="s">
        <v>126</v>
      </c>
      <c r="B77" s="1" t="s">
        <v>127</v>
      </c>
      <c r="C77" s="1" t="s">
        <v>128</v>
      </c>
      <c r="D77" s="1" t="s">
        <v>129</v>
      </c>
      <c r="E77" s="1" t="s">
        <v>130</v>
      </c>
      <c r="F77" s="1" t="s">
        <v>131</v>
      </c>
      <c r="G77" s="1" t="s">
        <v>132</v>
      </c>
      <c r="H77" s="1" t="s">
        <v>49</v>
      </c>
      <c r="I77" s="1" t="s">
        <v>50</v>
      </c>
      <c r="J77" s="1" t="s">
        <v>34</v>
      </c>
      <c r="K77" s="1" t="s">
        <v>35</v>
      </c>
      <c r="L77" s="1" t="s">
        <v>152</v>
      </c>
      <c r="M77" s="1" t="s">
        <v>75</v>
      </c>
      <c r="N77" s="1" t="s">
        <v>149</v>
      </c>
      <c r="O77" s="2"/>
      <c r="P77" s="2"/>
      <c r="Q77" s="2"/>
    </row>
    <row r="78" spans="1:17" ht="84" customHeight="1">
      <c r="A78" s="1" t="s">
        <v>126</v>
      </c>
      <c r="B78" s="1" t="s">
        <v>127</v>
      </c>
      <c r="C78" s="1" t="s">
        <v>128</v>
      </c>
      <c r="D78" s="1" t="s">
        <v>129</v>
      </c>
      <c r="E78" s="1" t="s">
        <v>130</v>
      </c>
      <c r="F78" s="1" t="s">
        <v>131</v>
      </c>
      <c r="G78" s="1" t="s">
        <v>132</v>
      </c>
      <c r="H78" s="1" t="s">
        <v>55</v>
      </c>
      <c r="I78" s="1" t="s">
        <v>56</v>
      </c>
      <c r="J78" s="1" t="s">
        <v>25</v>
      </c>
      <c r="K78" s="1" t="s">
        <v>26</v>
      </c>
      <c r="L78" s="1" t="s">
        <v>153</v>
      </c>
      <c r="M78" s="1" t="s">
        <v>75</v>
      </c>
      <c r="N78" s="1" t="s">
        <v>154</v>
      </c>
      <c r="O78" s="2"/>
      <c r="P78" s="2"/>
      <c r="Q78" s="2"/>
    </row>
    <row r="79" spans="1:17" ht="84" customHeight="1">
      <c r="A79" s="1" t="s">
        <v>126</v>
      </c>
      <c r="B79" s="1" t="s">
        <v>127</v>
      </c>
      <c r="C79" s="1" t="s">
        <v>128</v>
      </c>
      <c r="D79" s="1" t="s">
        <v>129</v>
      </c>
      <c r="E79" s="1" t="s">
        <v>130</v>
      </c>
      <c r="F79" s="1" t="s">
        <v>131</v>
      </c>
      <c r="G79" s="1" t="s">
        <v>132</v>
      </c>
      <c r="H79" s="1" t="s">
        <v>55</v>
      </c>
      <c r="I79" s="1" t="s">
        <v>56</v>
      </c>
      <c r="J79" s="1" t="s">
        <v>29</v>
      </c>
      <c r="K79" s="1" t="s">
        <v>30</v>
      </c>
      <c r="L79" s="1" t="s">
        <v>155</v>
      </c>
      <c r="M79" s="1"/>
      <c r="N79" s="1" t="s">
        <v>154</v>
      </c>
      <c r="O79" s="2"/>
      <c r="P79" s="2"/>
      <c r="Q79" s="2"/>
    </row>
    <row r="80" spans="1:17" ht="84" customHeight="1">
      <c r="A80" s="1" t="s">
        <v>126</v>
      </c>
      <c r="B80" s="1" t="s">
        <v>127</v>
      </c>
      <c r="C80" s="1" t="s">
        <v>128</v>
      </c>
      <c r="D80" s="1" t="s">
        <v>129</v>
      </c>
      <c r="E80" s="1" t="s">
        <v>130</v>
      </c>
      <c r="F80" s="1" t="s">
        <v>131</v>
      </c>
      <c r="G80" s="1" t="s">
        <v>132</v>
      </c>
      <c r="H80" s="1" t="s">
        <v>55</v>
      </c>
      <c r="I80" s="1" t="s">
        <v>56</v>
      </c>
      <c r="J80" s="1" t="s">
        <v>31</v>
      </c>
      <c r="K80" s="1" t="s">
        <v>32</v>
      </c>
      <c r="L80" s="1" t="s">
        <v>156</v>
      </c>
      <c r="M80" s="1" t="s">
        <v>75</v>
      </c>
      <c r="N80" s="1" t="s">
        <v>154</v>
      </c>
      <c r="O80" s="2"/>
      <c r="P80" s="2"/>
      <c r="Q80" s="2"/>
    </row>
    <row r="81" spans="1:17" ht="84" customHeight="1">
      <c r="A81" s="1" t="s">
        <v>126</v>
      </c>
      <c r="B81" s="1" t="s">
        <v>127</v>
      </c>
      <c r="C81" s="1" t="s">
        <v>128</v>
      </c>
      <c r="D81" s="1" t="s">
        <v>129</v>
      </c>
      <c r="E81" s="1" t="s">
        <v>130</v>
      </c>
      <c r="F81" s="1" t="s">
        <v>131</v>
      </c>
      <c r="G81" s="1" t="s">
        <v>132</v>
      </c>
      <c r="H81" s="1" t="s">
        <v>55</v>
      </c>
      <c r="I81" s="1" t="s">
        <v>56</v>
      </c>
      <c r="J81" s="1" t="s">
        <v>34</v>
      </c>
      <c r="K81" s="1" t="s">
        <v>35</v>
      </c>
      <c r="L81" s="1" t="s">
        <v>157</v>
      </c>
      <c r="M81" s="1" t="s">
        <v>75</v>
      </c>
      <c r="N81" s="1" t="s">
        <v>154</v>
      </c>
      <c r="O81" s="2"/>
      <c r="P81" s="2"/>
      <c r="Q81" s="2"/>
    </row>
    <row r="82" spans="1:17" ht="84" customHeight="1">
      <c r="A82" s="1" t="s">
        <v>158</v>
      </c>
      <c r="B82" s="1" t="s">
        <v>127</v>
      </c>
      <c r="C82" s="1" t="s">
        <v>159</v>
      </c>
      <c r="D82" s="1" t="s">
        <v>160</v>
      </c>
      <c r="E82" s="1" t="s">
        <v>161</v>
      </c>
      <c r="F82" s="1" t="s">
        <v>162</v>
      </c>
      <c r="G82" s="1" t="s">
        <v>163</v>
      </c>
      <c r="H82" s="1" t="s">
        <v>23</v>
      </c>
      <c r="I82" s="1" t="s">
        <v>24</v>
      </c>
      <c r="J82" s="1" t="s">
        <v>25</v>
      </c>
      <c r="K82" s="1" t="s">
        <v>26</v>
      </c>
      <c r="L82" s="1" t="s">
        <v>164</v>
      </c>
      <c r="M82" s="1" t="s">
        <v>75</v>
      </c>
      <c r="N82" s="1" t="s">
        <v>165</v>
      </c>
      <c r="O82" s="2"/>
      <c r="P82" s="2"/>
      <c r="Q82" s="2"/>
    </row>
    <row r="83" spans="1:17" ht="84" customHeight="1">
      <c r="A83" s="1" t="s">
        <v>158</v>
      </c>
      <c r="B83" s="1" t="s">
        <v>127</v>
      </c>
      <c r="C83" s="1" t="s">
        <v>159</v>
      </c>
      <c r="D83" s="1" t="s">
        <v>160</v>
      </c>
      <c r="E83" s="1" t="s">
        <v>161</v>
      </c>
      <c r="F83" s="1" t="s">
        <v>162</v>
      </c>
      <c r="G83" s="1" t="s">
        <v>163</v>
      </c>
      <c r="H83" s="1" t="s">
        <v>23</v>
      </c>
      <c r="I83" s="1" t="s">
        <v>24</v>
      </c>
      <c r="J83" s="1" t="s">
        <v>29</v>
      </c>
      <c r="K83" s="1" t="s">
        <v>30</v>
      </c>
      <c r="L83" s="1" t="s">
        <v>166</v>
      </c>
      <c r="M83" s="1"/>
      <c r="N83" s="1" t="s">
        <v>165</v>
      </c>
      <c r="O83" s="2"/>
      <c r="P83" s="2"/>
      <c r="Q83" s="2"/>
    </row>
    <row r="84" spans="1:17" ht="84" customHeight="1">
      <c r="A84" s="1" t="s">
        <v>158</v>
      </c>
      <c r="B84" s="1" t="s">
        <v>127</v>
      </c>
      <c r="C84" s="1" t="s">
        <v>159</v>
      </c>
      <c r="D84" s="1" t="s">
        <v>160</v>
      </c>
      <c r="E84" s="1" t="s">
        <v>161</v>
      </c>
      <c r="F84" s="1" t="s">
        <v>162</v>
      </c>
      <c r="G84" s="1" t="s">
        <v>163</v>
      </c>
      <c r="H84" s="1" t="s">
        <v>23</v>
      </c>
      <c r="I84" s="1" t="s">
        <v>24</v>
      </c>
      <c r="J84" s="1" t="s">
        <v>31</v>
      </c>
      <c r="K84" s="1" t="s">
        <v>32</v>
      </c>
      <c r="L84" s="1" t="s">
        <v>167</v>
      </c>
      <c r="M84" s="1" t="s">
        <v>75</v>
      </c>
      <c r="N84" s="1" t="s">
        <v>165</v>
      </c>
      <c r="O84" s="2"/>
      <c r="P84" s="2"/>
      <c r="Q84" s="2"/>
    </row>
    <row r="85" spans="1:17" ht="84" customHeight="1">
      <c r="A85" s="1" t="s">
        <v>158</v>
      </c>
      <c r="B85" s="1" t="s">
        <v>127</v>
      </c>
      <c r="C85" s="1" t="s">
        <v>159</v>
      </c>
      <c r="D85" s="1" t="s">
        <v>160</v>
      </c>
      <c r="E85" s="1" t="s">
        <v>161</v>
      </c>
      <c r="F85" s="1" t="s">
        <v>162</v>
      </c>
      <c r="G85" s="1" t="s">
        <v>163</v>
      </c>
      <c r="H85" s="1" t="s">
        <v>23</v>
      </c>
      <c r="I85" s="1" t="s">
        <v>24</v>
      </c>
      <c r="J85" s="1" t="s">
        <v>34</v>
      </c>
      <c r="K85" s="1" t="s">
        <v>35</v>
      </c>
      <c r="L85" s="1" t="s">
        <v>168</v>
      </c>
      <c r="M85" s="1" t="s">
        <v>75</v>
      </c>
      <c r="N85" s="1" t="s">
        <v>165</v>
      </c>
      <c r="O85" s="2"/>
      <c r="P85" s="2"/>
      <c r="Q85" s="2"/>
    </row>
    <row r="86" spans="1:17" ht="84" customHeight="1">
      <c r="A86" s="1" t="s">
        <v>158</v>
      </c>
      <c r="B86" s="1" t="s">
        <v>127</v>
      </c>
      <c r="C86" s="1" t="s">
        <v>159</v>
      </c>
      <c r="D86" s="1" t="s">
        <v>160</v>
      </c>
      <c r="E86" s="1" t="s">
        <v>161</v>
      </c>
      <c r="F86" s="1" t="s">
        <v>162</v>
      </c>
      <c r="G86" s="1" t="s">
        <v>163</v>
      </c>
      <c r="H86" s="1" t="s">
        <v>37</v>
      </c>
      <c r="I86" s="1" t="s">
        <v>38</v>
      </c>
      <c r="J86" s="1" t="s">
        <v>25</v>
      </c>
      <c r="K86" s="1" t="s">
        <v>26</v>
      </c>
      <c r="L86" s="1" t="s">
        <v>169</v>
      </c>
      <c r="M86" s="1" t="s">
        <v>75</v>
      </c>
      <c r="N86" s="1" t="s">
        <v>170</v>
      </c>
      <c r="O86" s="2"/>
      <c r="P86" s="2"/>
      <c r="Q86" s="2"/>
    </row>
    <row r="87" spans="1:17" ht="84" customHeight="1">
      <c r="A87" s="1" t="s">
        <v>158</v>
      </c>
      <c r="B87" s="1" t="s">
        <v>127</v>
      </c>
      <c r="C87" s="1" t="s">
        <v>159</v>
      </c>
      <c r="D87" s="1" t="s">
        <v>160</v>
      </c>
      <c r="E87" s="1" t="s">
        <v>161</v>
      </c>
      <c r="F87" s="1" t="s">
        <v>162</v>
      </c>
      <c r="G87" s="1" t="s">
        <v>163</v>
      </c>
      <c r="H87" s="1" t="s">
        <v>37</v>
      </c>
      <c r="I87" s="1" t="s">
        <v>38</v>
      </c>
      <c r="J87" s="1" t="s">
        <v>29</v>
      </c>
      <c r="K87" s="1" t="s">
        <v>30</v>
      </c>
      <c r="L87" s="1" t="s">
        <v>171</v>
      </c>
      <c r="M87" s="1"/>
      <c r="N87" s="1" t="s">
        <v>170</v>
      </c>
      <c r="O87" s="2"/>
      <c r="P87" s="2"/>
      <c r="Q87" s="2"/>
    </row>
    <row r="88" spans="1:17" ht="84" customHeight="1">
      <c r="A88" s="1" t="s">
        <v>158</v>
      </c>
      <c r="B88" s="1" t="s">
        <v>127</v>
      </c>
      <c r="C88" s="1" t="s">
        <v>159</v>
      </c>
      <c r="D88" s="1" t="s">
        <v>160</v>
      </c>
      <c r="E88" s="1" t="s">
        <v>161</v>
      </c>
      <c r="F88" s="1" t="s">
        <v>162</v>
      </c>
      <c r="G88" s="1" t="s">
        <v>163</v>
      </c>
      <c r="H88" s="1" t="s">
        <v>37</v>
      </c>
      <c r="I88" s="1" t="s">
        <v>38</v>
      </c>
      <c r="J88" s="1" t="s">
        <v>31</v>
      </c>
      <c r="K88" s="1" t="s">
        <v>32</v>
      </c>
      <c r="L88" s="1" t="s">
        <v>172</v>
      </c>
      <c r="M88" s="1" t="s">
        <v>75</v>
      </c>
      <c r="N88" s="1" t="s">
        <v>170</v>
      </c>
      <c r="O88" s="2"/>
      <c r="P88" s="2"/>
      <c r="Q88" s="2"/>
    </row>
    <row r="89" spans="1:17" ht="84" customHeight="1">
      <c r="A89" s="1" t="s">
        <v>158</v>
      </c>
      <c r="B89" s="1" t="s">
        <v>127</v>
      </c>
      <c r="C89" s="1" t="s">
        <v>159</v>
      </c>
      <c r="D89" s="1" t="s">
        <v>160</v>
      </c>
      <c r="E89" s="1" t="s">
        <v>161</v>
      </c>
      <c r="F89" s="1" t="s">
        <v>162</v>
      </c>
      <c r="G89" s="1" t="s">
        <v>163</v>
      </c>
      <c r="H89" s="1" t="s">
        <v>37</v>
      </c>
      <c r="I89" s="1" t="s">
        <v>38</v>
      </c>
      <c r="J89" s="1" t="s">
        <v>34</v>
      </c>
      <c r="K89" s="1" t="s">
        <v>35</v>
      </c>
      <c r="L89" s="1" t="s">
        <v>173</v>
      </c>
      <c r="M89" s="1" t="s">
        <v>75</v>
      </c>
      <c r="N89" s="1" t="s">
        <v>170</v>
      </c>
      <c r="O89" s="2"/>
      <c r="P89" s="2"/>
      <c r="Q89" s="2"/>
    </row>
    <row r="90" spans="1:17" ht="84" customHeight="1">
      <c r="A90" s="1" t="s">
        <v>158</v>
      </c>
      <c r="B90" s="1" t="s">
        <v>127</v>
      </c>
      <c r="C90" s="1" t="s">
        <v>159</v>
      </c>
      <c r="D90" s="1" t="s">
        <v>160</v>
      </c>
      <c r="E90" s="1" t="s">
        <v>161</v>
      </c>
      <c r="F90" s="1" t="s">
        <v>162</v>
      </c>
      <c r="G90" s="1" t="s">
        <v>163</v>
      </c>
      <c r="H90" s="1" t="s">
        <v>43</v>
      </c>
      <c r="I90" s="1" t="s">
        <v>44</v>
      </c>
      <c r="J90" s="1" t="s">
        <v>25</v>
      </c>
      <c r="K90" s="1" t="s">
        <v>26</v>
      </c>
      <c r="L90" s="1" t="s">
        <v>174</v>
      </c>
      <c r="M90" s="1" t="s">
        <v>75</v>
      </c>
      <c r="N90" s="1" t="s">
        <v>175</v>
      </c>
      <c r="O90" s="2"/>
      <c r="P90" s="2"/>
      <c r="Q90" s="2"/>
    </row>
    <row r="91" spans="1:17" ht="84" customHeight="1">
      <c r="A91" s="1" t="s">
        <v>158</v>
      </c>
      <c r="B91" s="1" t="s">
        <v>127</v>
      </c>
      <c r="C91" s="1" t="s">
        <v>159</v>
      </c>
      <c r="D91" s="1" t="s">
        <v>160</v>
      </c>
      <c r="E91" s="1" t="s">
        <v>161</v>
      </c>
      <c r="F91" s="1" t="s">
        <v>162</v>
      </c>
      <c r="G91" s="1" t="s">
        <v>163</v>
      </c>
      <c r="H91" s="1" t="s">
        <v>43</v>
      </c>
      <c r="I91" s="1" t="s">
        <v>44</v>
      </c>
      <c r="J91" s="1" t="s">
        <v>29</v>
      </c>
      <c r="K91" s="1" t="s">
        <v>30</v>
      </c>
      <c r="L91" s="1" t="s">
        <v>176</v>
      </c>
      <c r="M91" s="1"/>
      <c r="N91" s="1" t="s">
        <v>175</v>
      </c>
      <c r="O91" s="2"/>
      <c r="P91" s="2"/>
      <c r="Q91" s="2"/>
    </row>
    <row r="92" spans="1:17" ht="84" customHeight="1">
      <c r="A92" s="1" t="s">
        <v>158</v>
      </c>
      <c r="B92" s="1" t="s">
        <v>127</v>
      </c>
      <c r="C92" s="1" t="s">
        <v>159</v>
      </c>
      <c r="D92" s="1" t="s">
        <v>160</v>
      </c>
      <c r="E92" s="1" t="s">
        <v>161</v>
      </c>
      <c r="F92" s="1" t="s">
        <v>162</v>
      </c>
      <c r="G92" s="1" t="s">
        <v>163</v>
      </c>
      <c r="H92" s="1" t="s">
        <v>43</v>
      </c>
      <c r="I92" s="1" t="s">
        <v>44</v>
      </c>
      <c r="J92" s="1" t="s">
        <v>31</v>
      </c>
      <c r="K92" s="1" t="s">
        <v>32</v>
      </c>
      <c r="L92" s="1" t="s">
        <v>177</v>
      </c>
      <c r="M92" s="1" t="s">
        <v>75</v>
      </c>
      <c r="N92" s="1" t="s">
        <v>175</v>
      </c>
      <c r="O92" s="2"/>
      <c r="P92" s="2"/>
      <c r="Q92" s="2"/>
    </row>
    <row r="93" spans="1:17" ht="84" customHeight="1">
      <c r="A93" s="1" t="s">
        <v>158</v>
      </c>
      <c r="B93" s="1" t="s">
        <v>127</v>
      </c>
      <c r="C93" s="1" t="s">
        <v>159</v>
      </c>
      <c r="D93" s="1" t="s">
        <v>160</v>
      </c>
      <c r="E93" s="1" t="s">
        <v>161</v>
      </c>
      <c r="F93" s="1" t="s">
        <v>162</v>
      </c>
      <c r="G93" s="1" t="s">
        <v>163</v>
      </c>
      <c r="H93" s="1" t="s">
        <v>43</v>
      </c>
      <c r="I93" s="1" t="s">
        <v>44</v>
      </c>
      <c r="J93" s="1" t="s">
        <v>34</v>
      </c>
      <c r="K93" s="1" t="s">
        <v>35</v>
      </c>
      <c r="L93" s="1" t="s">
        <v>178</v>
      </c>
      <c r="M93" s="1" t="s">
        <v>75</v>
      </c>
      <c r="N93" s="1" t="s">
        <v>175</v>
      </c>
      <c r="O93" s="2"/>
      <c r="P93" s="2"/>
      <c r="Q93" s="2"/>
    </row>
    <row r="94" spans="1:17" ht="84" customHeight="1">
      <c r="A94" s="1" t="s">
        <v>158</v>
      </c>
      <c r="B94" s="1" t="s">
        <v>127</v>
      </c>
      <c r="C94" s="1" t="s">
        <v>159</v>
      </c>
      <c r="D94" s="1" t="s">
        <v>160</v>
      </c>
      <c r="E94" s="1" t="s">
        <v>161</v>
      </c>
      <c r="F94" s="1" t="s">
        <v>162</v>
      </c>
      <c r="G94" s="1" t="s">
        <v>163</v>
      </c>
      <c r="H94" s="1" t="s">
        <v>49</v>
      </c>
      <c r="I94" s="1" t="s">
        <v>50</v>
      </c>
      <c r="J94" s="1" t="s">
        <v>25</v>
      </c>
      <c r="K94" s="1" t="s">
        <v>26</v>
      </c>
      <c r="L94" s="1" t="s">
        <v>179</v>
      </c>
      <c r="M94" s="1" t="s">
        <v>75</v>
      </c>
      <c r="N94" s="1" t="s">
        <v>180</v>
      </c>
      <c r="O94" s="2"/>
      <c r="P94" s="2"/>
      <c r="Q94" s="2"/>
    </row>
    <row r="95" spans="1:17" ht="84" customHeight="1">
      <c r="A95" s="1" t="s">
        <v>158</v>
      </c>
      <c r="B95" s="1" t="s">
        <v>127</v>
      </c>
      <c r="C95" s="1" t="s">
        <v>159</v>
      </c>
      <c r="D95" s="1" t="s">
        <v>160</v>
      </c>
      <c r="E95" s="1" t="s">
        <v>161</v>
      </c>
      <c r="F95" s="1" t="s">
        <v>162</v>
      </c>
      <c r="G95" s="1" t="s">
        <v>163</v>
      </c>
      <c r="H95" s="1" t="s">
        <v>49</v>
      </c>
      <c r="I95" s="1" t="s">
        <v>50</v>
      </c>
      <c r="J95" s="1" t="s">
        <v>29</v>
      </c>
      <c r="K95" s="1" t="s">
        <v>30</v>
      </c>
      <c r="L95" s="1" t="s">
        <v>181</v>
      </c>
      <c r="M95" s="1"/>
      <c r="N95" s="1" t="s">
        <v>180</v>
      </c>
      <c r="O95" s="2"/>
      <c r="P95" s="2"/>
      <c r="Q95" s="2"/>
    </row>
    <row r="96" spans="1:17" ht="84" customHeight="1">
      <c r="A96" s="1" t="s">
        <v>158</v>
      </c>
      <c r="B96" s="1" t="s">
        <v>127</v>
      </c>
      <c r="C96" s="1" t="s">
        <v>159</v>
      </c>
      <c r="D96" s="1" t="s">
        <v>160</v>
      </c>
      <c r="E96" s="1" t="s">
        <v>161</v>
      </c>
      <c r="F96" s="1" t="s">
        <v>162</v>
      </c>
      <c r="G96" s="1" t="s">
        <v>163</v>
      </c>
      <c r="H96" s="1" t="s">
        <v>49</v>
      </c>
      <c r="I96" s="1" t="s">
        <v>50</v>
      </c>
      <c r="J96" s="1" t="s">
        <v>31</v>
      </c>
      <c r="K96" s="1" t="s">
        <v>32</v>
      </c>
      <c r="L96" s="1" t="s">
        <v>182</v>
      </c>
      <c r="M96" s="1" t="s">
        <v>75</v>
      </c>
      <c r="N96" s="1" t="s">
        <v>180</v>
      </c>
      <c r="O96" s="2"/>
      <c r="P96" s="2"/>
      <c r="Q96" s="2"/>
    </row>
    <row r="97" spans="1:17" ht="84" customHeight="1">
      <c r="A97" s="1" t="s">
        <v>158</v>
      </c>
      <c r="B97" s="1" t="s">
        <v>127</v>
      </c>
      <c r="C97" s="1" t="s">
        <v>159</v>
      </c>
      <c r="D97" s="1" t="s">
        <v>160</v>
      </c>
      <c r="E97" s="1" t="s">
        <v>161</v>
      </c>
      <c r="F97" s="1" t="s">
        <v>162</v>
      </c>
      <c r="G97" s="1" t="s">
        <v>163</v>
      </c>
      <c r="H97" s="1" t="s">
        <v>49</v>
      </c>
      <c r="I97" s="1" t="s">
        <v>50</v>
      </c>
      <c r="J97" s="1" t="s">
        <v>34</v>
      </c>
      <c r="K97" s="1" t="s">
        <v>35</v>
      </c>
      <c r="L97" s="1" t="s">
        <v>183</v>
      </c>
      <c r="M97" s="1" t="s">
        <v>75</v>
      </c>
      <c r="N97" s="1" t="s">
        <v>180</v>
      </c>
      <c r="O97" s="2"/>
      <c r="P97" s="2"/>
      <c r="Q97" s="2"/>
    </row>
    <row r="98" spans="1:17" ht="84" customHeight="1">
      <c r="A98" s="1" t="s">
        <v>158</v>
      </c>
      <c r="B98" s="1" t="s">
        <v>127</v>
      </c>
      <c r="C98" s="1" t="s">
        <v>159</v>
      </c>
      <c r="D98" s="1" t="s">
        <v>160</v>
      </c>
      <c r="E98" s="1" t="s">
        <v>161</v>
      </c>
      <c r="F98" s="1" t="s">
        <v>162</v>
      </c>
      <c r="G98" s="1" t="s">
        <v>163</v>
      </c>
      <c r="H98" s="1" t="s">
        <v>55</v>
      </c>
      <c r="I98" s="1" t="s">
        <v>56</v>
      </c>
      <c r="J98" s="1" t="s">
        <v>25</v>
      </c>
      <c r="K98" s="1" t="s">
        <v>26</v>
      </c>
      <c r="L98" s="1" t="s">
        <v>184</v>
      </c>
      <c r="M98" s="1" t="s">
        <v>75</v>
      </c>
      <c r="N98" s="1" t="s">
        <v>185</v>
      </c>
      <c r="O98" s="2"/>
      <c r="P98" s="2"/>
      <c r="Q98" s="2"/>
    </row>
    <row r="99" spans="1:17" ht="84" customHeight="1">
      <c r="A99" s="1" t="s">
        <v>158</v>
      </c>
      <c r="B99" s="1" t="s">
        <v>127</v>
      </c>
      <c r="C99" s="1" t="s">
        <v>159</v>
      </c>
      <c r="D99" s="1" t="s">
        <v>160</v>
      </c>
      <c r="E99" s="1" t="s">
        <v>161</v>
      </c>
      <c r="F99" s="1" t="s">
        <v>162</v>
      </c>
      <c r="G99" s="1" t="s">
        <v>163</v>
      </c>
      <c r="H99" s="1" t="s">
        <v>55</v>
      </c>
      <c r="I99" s="1" t="s">
        <v>56</v>
      </c>
      <c r="J99" s="1" t="s">
        <v>29</v>
      </c>
      <c r="K99" s="1" t="s">
        <v>30</v>
      </c>
      <c r="L99" s="1" t="s">
        <v>186</v>
      </c>
      <c r="M99" s="1"/>
      <c r="N99" s="1" t="s">
        <v>185</v>
      </c>
      <c r="O99" s="2"/>
      <c r="P99" s="2"/>
      <c r="Q99" s="2"/>
    </row>
    <row r="100" spans="1:17" ht="84" customHeight="1">
      <c r="A100" s="1" t="s">
        <v>158</v>
      </c>
      <c r="B100" s="1" t="s">
        <v>127</v>
      </c>
      <c r="C100" s="1" t="s">
        <v>159</v>
      </c>
      <c r="D100" s="1" t="s">
        <v>160</v>
      </c>
      <c r="E100" s="1" t="s">
        <v>161</v>
      </c>
      <c r="F100" s="1" t="s">
        <v>162</v>
      </c>
      <c r="G100" s="1" t="s">
        <v>163</v>
      </c>
      <c r="H100" s="1" t="s">
        <v>55</v>
      </c>
      <c r="I100" s="1" t="s">
        <v>56</v>
      </c>
      <c r="J100" s="1" t="s">
        <v>31</v>
      </c>
      <c r="K100" s="1" t="s">
        <v>32</v>
      </c>
      <c r="L100" s="1" t="s">
        <v>187</v>
      </c>
      <c r="M100" s="1" t="s">
        <v>75</v>
      </c>
      <c r="N100" s="1" t="s">
        <v>185</v>
      </c>
      <c r="O100" s="2"/>
      <c r="P100" s="2"/>
      <c r="Q100" s="2"/>
    </row>
    <row r="101" spans="1:17" ht="84" customHeight="1">
      <c r="A101" s="1" t="s">
        <v>158</v>
      </c>
      <c r="B101" s="1" t="s">
        <v>127</v>
      </c>
      <c r="C101" s="1" t="s">
        <v>159</v>
      </c>
      <c r="D101" s="1" t="s">
        <v>160</v>
      </c>
      <c r="E101" s="1" t="s">
        <v>161</v>
      </c>
      <c r="F101" s="1" t="s">
        <v>162</v>
      </c>
      <c r="G101" s="1" t="s">
        <v>163</v>
      </c>
      <c r="H101" s="1" t="s">
        <v>55</v>
      </c>
      <c r="I101" s="1" t="s">
        <v>56</v>
      </c>
      <c r="J101" s="1" t="s">
        <v>34</v>
      </c>
      <c r="K101" s="1" t="s">
        <v>35</v>
      </c>
      <c r="L101" s="1" t="s">
        <v>188</v>
      </c>
      <c r="M101" s="1" t="s">
        <v>75</v>
      </c>
      <c r="N101" s="1" t="s">
        <v>185</v>
      </c>
      <c r="O101" s="2"/>
      <c r="P101" s="2"/>
      <c r="Q101" s="2"/>
    </row>
    <row r="102" spans="1:17" ht="84" customHeight="1">
      <c r="A102" s="1" t="s">
        <v>189</v>
      </c>
      <c r="B102" s="1" t="s">
        <v>190</v>
      </c>
      <c r="C102" s="1" t="s">
        <v>191</v>
      </c>
      <c r="D102" s="1" t="s">
        <v>192</v>
      </c>
      <c r="E102" s="1" t="s">
        <v>193</v>
      </c>
      <c r="F102" s="1" t="s">
        <v>194</v>
      </c>
      <c r="G102" s="1" t="s">
        <v>195</v>
      </c>
      <c r="H102" s="1" t="s">
        <v>23</v>
      </c>
      <c r="I102" s="1" t="s">
        <v>24</v>
      </c>
      <c r="J102" s="1" t="s">
        <v>25</v>
      </c>
      <c r="K102" s="1" t="s">
        <v>26</v>
      </c>
      <c r="L102" s="1" t="s">
        <v>196</v>
      </c>
      <c r="M102" s="1" t="s">
        <v>75</v>
      </c>
      <c r="N102" s="1" t="s">
        <v>197</v>
      </c>
      <c r="O102" s="2"/>
      <c r="P102" s="2"/>
      <c r="Q102" s="2"/>
    </row>
    <row r="103" spans="1:17" ht="84" customHeight="1">
      <c r="A103" s="1" t="s">
        <v>189</v>
      </c>
      <c r="B103" s="1" t="s">
        <v>190</v>
      </c>
      <c r="C103" s="1" t="s">
        <v>191</v>
      </c>
      <c r="D103" s="1" t="s">
        <v>192</v>
      </c>
      <c r="E103" s="1" t="s">
        <v>193</v>
      </c>
      <c r="F103" s="1" t="s">
        <v>194</v>
      </c>
      <c r="G103" s="1" t="s">
        <v>195</v>
      </c>
      <c r="H103" s="1" t="s">
        <v>23</v>
      </c>
      <c r="I103" s="1" t="s">
        <v>24</v>
      </c>
      <c r="J103" s="1" t="s">
        <v>29</v>
      </c>
      <c r="K103" s="1" t="s">
        <v>30</v>
      </c>
      <c r="L103" s="1" t="s">
        <v>198</v>
      </c>
      <c r="M103" s="1"/>
      <c r="N103" s="1" t="s">
        <v>197</v>
      </c>
      <c r="O103" s="2"/>
      <c r="P103" s="2"/>
      <c r="Q103" s="2"/>
    </row>
    <row r="104" spans="1:17" ht="84" customHeight="1">
      <c r="A104" s="1" t="s">
        <v>189</v>
      </c>
      <c r="B104" s="1" t="s">
        <v>190</v>
      </c>
      <c r="C104" s="1" t="s">
        <v>191</v>
      </c>
      <c r="D104" s="1" t="s">
        <v>192</v>
      </c>
      <c r="E104" s="1" t="s">
        <v>193</v>
      </c>
      <c r="F104" s="1" t="s">
        <v>194</v>
      </c>
      <c r="G104" s="1" t="s">
        <v>195</v>
      </c>
      <c r="H104" s="1" t="s">
        <v>23</v>
      </c>
      <c r="I104" s="1" t="s">
        <v>24</v>
      </c>
      <c r="J104" s="1" t="s">
        <v>31</v>
      </c>
      <c r="K104" s="1" t="s">
        <v>32</v>
      </c>
      <c r="L104" s="1" t="s">
        <v>199</v>
      </c>
      <c r="M104" s="1" t="s">
        <v>75</v>
      </c>
      <c r="N104" s="1" t="s">
        <v>197</v>
      </c>
      <c r="O104" s="2"/>
      <c r="P104" s="2"/>
      <c r="Q104" s="2"/>
    </row>
    <row r="105" spans="1:17" ht="84" customHeight="1">
      <c r="A105" s="1" t="s">
        <v>189</v>
      </c>
      <c r="B105" s="1" t="s">
        <v>190</v>
      </c>
      <c r="C105" s="1" t="s">
        <v>191</v>
      </c>
      <c r="D105" s="1" t="s">
        <v>192</v>
      </c>
      <c r="E105" s="1" t="s">
        <v>193</v>
      </c>
      <c r="F105" s="1" t="s">
        <v>194</v>
      </c>
      <c r="G105" s="1" t="s">
        <v>195</v>
      </c>
      <c r="H105" s="1" t="s">
        <v>23</v>
      </c>
      <c r="I105" s="1" t="s">
        <v>24</v>
      </c>
      <c r="J105" s="1" t="s">
        <v>34</v>
      </c>
      <c r="K105" s="1" t="s">
        <v>35</v>
      </c>
      <c r="L105" s="1" t="s">
        <v>200</v>
      </c>
      <c r="M105" s="1" t="s">
        <v>75</v>
      </c>
      <c r="N105" s="1" t="s">
        <v>197</v>
      </c>
      <c r="O105" s="2"/>
      <c r="P105" s="2"/>
      <c r="Q105" s="2"/>
    </row>
    <row r="106" spans="1:17" ht="84" customHeight="1">
      <c r="A106" s="1" t="s">
        <v>189</v>
      </c>
      <c r="B106" s="1" t="s">
        <v>190</v>
      </c>
      <c r="C106" s="1" t="s">
        <v>191</v>
      </c>
      <c r="D106" s="1" t="s">
        <v>192</v>
      </c>
      <c r="E106" s="1" t="s">
        <v>193</v>
      </c>
      <c r="F106" s="1" t="s">
        <v>194</v>
      </c>
      <c r="G106" s="1" t="s">
        <v>195</v>
      </c>
      <c r="H106" s="1" t="s">
        <v>37</v>
      </c>
      <c r="I106" s="1" t="s">
        <v>38</v>
      </c>
      <c r="J106" s="1" t="s">
        <v>25</v>
      </c>
      <c r="K106" s="1" t="s">
        <v>26</v>
      </c>
      <c r="L106" s="1" t="s">
        <v>201</v>
      </c>
      <c r="M106" s="1" t="s">
        <v>75</v>
      </c>
      <c r="N106" s="1" t="s">
        <v>202</v>
      </c>
      <c r="O106" s="2"/>
      <c r="P106" s="2"/>
      <c r="Q106" s="2"/>
    </row>
    <row r="107" spans="1:17" ht="84" customHeight="1">
      <c r="A107" s="1" t="s">
        <v>189</v>
      </c>
      <c r="B107" s="1" t="s">
        <v>190</v>
      </c>
      <c r="C107" s="1" t="s">
        <v>191</v>
      </c>
      <c r="D107" s="1" t="s">
        <v>192</v>
      </c>
      <c r="E107" s="1" t="s">
        <v>193</v>
      </c>
      <c r="F107" s="1" t="s">
        <v>194</v>
      </c>
      <c r="G107" s="1" t="s">
        <v>195</v>
      </c>
      <c r="H107" s="1" t="s">
        <v>37</v>
      </c>
      <c r="I107" s="1" t="s">
        <v>38</v>
      </c>
      <c r="J107" s="1" t="s">
        <v>29</v>
      </c>
      <c r="K107" s="1" t="s">
        <v>30</v>
      </c>
      <c r="L107" s="1" t="s">
        <v>203</v>
      </c>
      <c r="M107" s="1"/>
      <c r="N107" s="1" t="s">
        <v>202</v>
      </c>
      <c r="O107" s="2"/>
      <c r="P107" s="2"/>
      <c r="Q107" s="2"/>
    </row>
    <row r="108" spans="1:17" ht="84" customHeight="1">
      <c r="A108" s="1" t="s">
        <v>189</v>
      </c>
      <c r="B108" s="1" t="s">
        <v>190</v>
      </c>
      <c r="C108" s="1" t="s">
        <v>191</v>
      </c>
      <c r="D108" s="1" t="s">
        <v>192</v>
      </c>
      <c r="E108" s="1" t="s">
        <v>193</v>
      </c>
      <c r="F108" s="1" t="s">
        <v>194</v>
      </c>
      <c r="G108" s="1" t="s">
        <v>195</v>
      </c>
      <c r="H108" s="1" t="s">
        <v>37</v>
      </c>
      <c r="I108" s="1" t="s">
        <v>38</v>
      </c>
      <c r="J108" s="1" t="s">
        <v>31</v>
      </c>
      <c r="K108" s="1" t="s">
        <v>32</v>
      </c>
      <c r="L108" s="1" t="s">
        <v>204</v>
      </c>
      <c r="M108" s="1" t="s">
        <v>75</v>
      </c>
      <c r="N108" s="1" t="s">
        <v>202</v>
      </c>
      <c r="O108" s="2"/>
      <c r="P108" s="2"/>
      <c r="Q108" s="2"/>
    </row>
    <row r="109" spans="1:17" ht="84" customHeight="1">
      <c r="A109" s="1" t="s">
        <v>189</v>
      </c>
      <c r="B109" s="1" t="s">
        <v>190</v>
      </c>
      <c r="C109" s="1" t="s">
        <v>191</v>
      </c>
      <c r="D109" s="1" t="s">
        <v>192</v>
      </c>
      <c r="E109" s="1" t="s">
        <v>193</v>
      </c>
      <c r="F109" s="1" t="s">
        <v>194</v>
      </c>
      <c r="G109" s="1" t="s">
        <v>195</v>
      </c>
      <c r="H109" s="1" t="s">
        <v>37</v>
      </c>
      <c r="I109" s="1" t="s">
        <v>38</v>
      </c>
      <c r="J109" s="1" t="s">
        <v>34</v>
      </c>
      <c r="K109" s="1" t="s">
        <v>35</v>
      </c>
      <c r="L109" s="1" t="s">
        <v>205</v>
      </c>
      <c r="M109" s="1" t="s">
        <v>75</v>
      </c>
      <c r="N109" s="1" t="s">
        <v>202</v>
      </c>
      <c r="O109" s="2"/>
      <c r="P109" s="2"/>
      <c r="Q109" s="2"/>
    </row>
    <row r="110" spans="1:17" ht="84" customHeight="1">
      <c r="A110" s="1" t="s">
        <v>189</v>
      </c>
      <c r="B110" s="1" t="s">
        <v>190</v>
      </c>
      <c r="C110" s="1" t="s">
        <v>191</v>
      </c>
      <c r="D110" s="1" t="s">
        <v>192</v>
      </c>
      <c r="E110" s="1" t="s">
        <v>193</v>
      </c>
      <c r="F110" s="1" t="s">
        <v>194</v>
      </c>
      <c r="G110" s="1" t="s">
        <v>195</v>
      </c>
      <c r="H110" s="1" t="s">
        <v>43</v>
      </c>
      <c r="I110" s="1" t="s">
        <v>44</v>
      </c>
      <c r="J110" s="1" t="s">
        <v>25</v>
      </c>
      <c r="K110" s="1" t="s">
        <v>26</v>
      </c>
      <c r="L110" s="1" t="s">
        <v>206</v>
      </c>
      <c r="M110" s="1" t="s">
        <v>75</v>
      </c>
      <c r="N110" s="1" t="s">
        <v>207</v>
      </c>
      <c r="O110" s="2"/>
      <c r="P110" s="2"/>
      <c r="Q110" s="2"/>
    </row>
    <row r="111" spans="1:17" ht="84" customHeight="1">
      <c r="A111" s="1" t="s">
        <v>189</v>
      </c>
      <c r="B111" s="1" t="s">
        <v>190</v>
      </c>
      <c r="C111" s="1" t="s">
        <v>191</v>
      </c>
      <c r="D111" s="1" t="s">
        <v>192</v>
      </c>
      <c r="E111" s="1" t="s">
        <v>193</v>
      </c>
      <c r="F111" s="1" t="s">
        <v>194</v>
      </c>
      <c r="G111" s="1" t="s">
        <v>195</v>
      </c>
      <c r="H111" s="1" t="s">
        <v>43</v>
      </c>
      <c r="I111" s="1" t="s">
        <v>44</v>
      </c>
      <c r="J111" s="1" t="s">
        <v>29</v>
      </c>
      <c r="K111" s="1" t="s">
        <v>30</v>
      </c>
      <c r="L111" s="1" t="s">
        <v>208</v>
      </c>
      <c r="M111" s="1"/>
      <c r="N111" s="1" t="s">
        <v>207</v>
      </c>
      <c r="O111" s="2"/>
      <c r="P111" s="2"/>
      <c r="Q111" s="2"/>
    </row>
    <row r="112" spans="1:17" ht="84" customHeight="1">
      <c r="A112" s="1" t="s">
        <v>189</v>
      </c>
      <c r="B112" s="1" t="s">
        <v>190</v>
      </c>
      <c r="C112" s="1" t="s">
        <v>191</v>
      </c>
      <c r="D112" s="1" t="s">
        <v>192</v>
      </c>
      <c r="E112" s="1" t="s">
        <v>193</v>
      </c>
      <c r="F112" s="1" t="s">
        <v>194</v>
      </c>
      <c r="G112" s="1" t="s">
        <v>195</v>
      </c>
      <c r="H112" s="1" t="s">
        <v>43</v>
      </c>
      <c r="I112" s="1" t="s">
        <v>44</v>
      </c>
      <c r="J112" s="1" t="s">
        <v>31</v>
      </c>
      <c r="K112" s="1" t="s">
        <v>32</v>
      </c>
      <c r="L112" s="1" t="s">
        <v>209</v>
      </c>
      <c r="M112" s="1" t="s">
        <v>75</v>
      </c>
      <c r="N112" s="1" t="s">
        <v>207</v>
      </c>
      <c r="O112" s="2"/>
      <c r="P112" s="2"/>
      <c r="Q112" s="2"/>
    </row>
    <row r="113" spans="1:17" ht="84" customHeight="1">
      <c r="A113" s="1" t="s">
        <v>189</v>
      </c>
      <c r="B113" s="1" t="s">
        <v>190</v>
      </c>
      <c r="C113" s="1" t="s">
        <v>191</v>
      </c>
      <c r="D113" s="1" t="s">
        <v>192</v>
      </c>
      <c r="E113" s="1" t="s">
        <v>193</v>
      </c>
      <c r="F113" s="1" t="s">
        <v>194</v>
      </c>
      <c r="G113" s="1" t="s">
        <v>195</v>
      </c>
      <c r="H113" s="1" t="s">
        <v>43</v>
      </c>
      <c r="I113" s="1" t="s">
        <v>44</v>
      </c>
      <c r="J113" s="1" t="s">
        <v>34</v>
      </c>
      <c r="K113" s="1" t="s">
        <v>35</v>
      </c>
      <c r="L113" s="1" t="s">
        <v>210</v>
      </c>
      <c r="M113" s="1" t="s">
        <v>75</v>
      </c>
      <c r="N113" s="1" t="s">
        <v>207</v>
      </c>
      <c r="O113" s="2"/>
      <c r="P113" s="2"/>
      <c r="Q113" s="2"/>
    </row>
    <row r="114" spans="1:17" ht="84" customHeight="1">
      <c r="A114" s="1" t="s">
        <v>189</v>
      </c>
      <c r="B114" s="1" t="s">
        <v>190</v>
      </c>
      <c r="C114" s="1" t="s">
        <v>191</v>
      </c>
      <c r="D114" s="1" t="s">
        <v>192</v>
      </c>
      <c r="E114" s="1" t="s">
        <v>193</v>
      </c>
      <c r="F114" s="1" t="s">
        <v>194</v>
      </c>
      <c r="G114" s="1" t="s">
        <v>195</v>
      </c>
      <c r="H114" s="1" t="s">
        <v>49</v>
      </c>
      <c r="I114" s="1" t="s">
        <v>50</v>
      </c>
      <c r="J114" s="1" t="s">
        <v>25</v>
      </c>
      <c r="K114" s="1" t="s">
        <v>26</v>
      </c>
      <c r="L114" s="1" t="s">
        <v>211</v>
      </c>
      <c r="M114" s="1" t="s">
        <v>75</v>
      </c>
      <c r="N114" s="1" t="s">
        <v>212</v>
      </c>
      <c r="O114" s="2"/>
      <c r="P114" s="2"/>
      <c r="Q114" s="2"/>
    </row>
    <row r="115" spans="1:17" ht="84" customHeight="1">
      <c r="A115" s="1" t="s">
        <v>189</v>
      </c>
      <c r="B115" s="1" t="s">
        <v>190</v>
      </c>
      <c r="C115" s="1" t="s">
        <v>191</v>
      </c>
      <c r="D115" s="1" t="s">
        <v>192</v>
      </c>
      <c r="E115" s="1" t="s">
        <v>193</v>
      </c>
      <c r="F115" s="1" t="s">
        <v>194</v>
      </c>
      <c r="G115" s="1" t="s">
        <v>195</v>
      </c>
      <c r="H115" s="1" t="s">
        <v>49</v>
      </c>
      <c r="I115" s="1" t="s">
        <v>50</v>
      </c>
      <c r="J115" s="1" t="s">
        <v>29</v>
      </c>
      <c r="K115" s="1" t="s">
        <v>30</v>
      </c>
      <c r="L115" s="1" t="s">
        <v>213</v>
      </c>
      <c r="M115" s="1"/>
      <c r="N115" s="1" t="s">
        <v>212</v>
      </c>
      <c r="O115" s="2"/>
      <c r="P115" s="2"/>
      <c r="Q115" s="2"/>
    </row>
    <row r="116" spans="1:17" ht="84" customHeight="1">
      <c r="A116" s="1" t="s">
        <v>189</v>
      </c>
      <c r="B116" s="1" t="s">
        <v>190</v>
      </c>
      <c r="C116" s="1" t="s">
        <v>191</v>
      </c>
      <c r="D116" s="1" t="s">
        <v>192</v>
      </c>
      <c r="E116" s="1" t="s">
        <v>193</v>
      </c>
      <c r="F116" s="1" t="s">
        <v>194</v>
      </c>
      <c r="G116" s="1" t="s">
        <v>195</v>
      </c>
      <c r="H116" s="1" t="s">
        <v>49</v>
      </c>
      <c r="I116" s="1" t="s">
        <v>50</v>
      </c>
      <c r="J116" s="1" t="s">
        <v>31</v>
      </c>
      <c r="K116" s="1" t="s">
        <v>32</v>
      </c>
      <c r="L116" s="1" t="s">
        <v>214</v>
      </c>
      <c r="M116" s="1" t="s">
        <v>75</v>
      </c>
      <c r="N116" s="1" t="s">
        <v>212</v>
      </c>
      <c r="O116" s="2"/>
      <c r="P116" s="2"/>
      <c r="Q116" s="2"/>
    </row>
    <row r="117" spans="1:17" ht="84" customHeight="1">
      <c r="A117" s="1" t="s">
        <v>189</v>
      </c>
      <c r="B117" s="1" t="s">
        <v>190</v>
      </c>
      <c r="C117" s="1" t="s">
        <v>191</v>
      </c>
      <c r="D117" s="1" t="s">
        <v>192</v>
      </c>
      <c r="E117" s="1" t="s">
        <v>193</v>
      </c>
      <c r="F117" s="1" t="s">
        <v>194</v>
      </c>
      <c r="G117" s="1" t="s">
        <v>195</v>
      </c>
      <c r="H117" s="1" t="s">
        <v>49</v>
      </c>
      <c r="I117" s="1" t="s">
        <v>50</v>
      </c>
      <c r="J117" s="1" t="s">
        <v>34</v>
      </c>
      <c r="K117" s="1" t="s">
        <v>35</v>
      </c>
      <c r="L117" s="1" t="s">
        <v>215</v>
      </c>
      <c r="M117" s="1" t="s">
        <v>75</v>
      </c>
      <c r="N117" s="1" t="s">
        <v>212</v>
      </c>
      <c r="O117" s="2"/>
      <c r="P117" s="2"/>
      <c r="Q117" s="2"/>
    </row>
    <row r="118" spans="1:17" ht="84" customHeight="1">
      <c r="A118" s="1" t="s">
        <v>189</v>
      </c>
      <c r="B118" s="1" t="s">
        <v>190</v>
      </c>
      <c r="C118" s="1" t="s">
        <v>191</v>
      </c>
      <c r="D118" s="1" t="s">
        <v>192</v>
      </c>
      <c r="E118" s="1" t="s">
        <v>193</v>
      </c>
      <c r="F118" s="1" t="s">
        <v>194</v>
      </c>
      <c r="G118" s="1" t="s">
        <v>195</v>
      </c>
      <c r="H118" s="1" t="s">
        <v>55</v>
      </c>
      <c r="I118" s="1" t="s">
        <v>56</v>
      </c>
      <c r="J118" s="1" t="s">
        <v>25</v>
      </c>
      <c r="K118" s="1" t="s">
        <v>26</v>
      </c>
      <c r="L118" s="1" t="s">
        <v>216</v>
      </c>
      <c r="M118" s="1" t="s">
        <v>75</v>
      </c>
      <c r="N118" s="1" t="s">
        <v>217</v>
      </c>
      <c r="O118" s="2"/>
      <c r="P118" s="2"/>
      <c r="Q118" s="2"/>
    </row>
    <row r="119" spans="1:17" ht="84" customHeight="1">
      <c r="A119" s="1" t="s">
        <v>189</v>
      </c>
      <c r="B119" s="1" t="s">
        <v>190</v>
      </c>
      <c r="C119" s="1" t="s">
        <v>191</v>
      </c>
      <c r="D119" s="1" t="s">
        <v>192</v>
      </c>
      <c r="E119" s="1" t="s">
        <v>193</v>
      </c>
      <c r="F119" s="1" t="s">
        <v>194</v>
      </c>
      <c r="G119" s="1" t="s">
        <v>195</v>
      </c>
      <c r="H119" s="1" t="s">
        <v>55</v>
      </c>
      <c r="I119" s="1" t="s">
        <v>56</v>
      </c>
      <c r="J119" s="1" t="s">
        <v>29</v>
      </c>
      <c r="K119" s="1" t="s">
        <v>30</v>
      </c>
      <c r="L119" s="1" t="s">
        <v>218</v>
      </c>
      <c r="M119" s="1"/>
      <c r="N119" s="1" t="s">
        <v>217</v>
      </c>
      <c r="O119" s="2"/>
      <c r="P119" s="2"/>
      <c r="Q119" s="2"/>
    </row>
    <row r="120" spans="1:17" ht="84" customHeight="1">
      <c r="A120" s="1" t="s">
        <v>189</v>
      </c>
      <c r="B120" s="1" t="s">
        <v>190</v>
      </c>
      <c r="C120" s="1" t="s">
        <v>191</v>
      </c>
      <c r="D120" s="1" t="s">
        <v>192</v>
      </c>
      <c r="E120" s="1" t="s">
        <v>193</v>
      </c>
      <c r="F120" s="1" t="s">
        <v>194</v>
      </c>
      <c r="G120" s="1" t="s">
        <v>195</v>
      </c>
      <c r="H120" s="1" t="s">
        <v>55</v>
      </c>
      <c r="I120" s="1" t="s">
        <v>56</v>
      </c>
      <c r="J120" s="1" t="s">
        <v>31</v>
      </c>
      <c r="K120" s="1" t="s">
        <v>32</v>
      </c>
      <c r="L120" s="1" t="s">
        <v>219</v>
      </c>
      <c r="M120" s="1" t="s">
        <v>75</v>
      </c>
      <c r="N120" s="1" t="s">
        <v>217</v>
      </c>
      <c r="O120" s="2"/>
      <c r="P120" s="2"/>
      <c r="Q120" s="2"/>
    </row>
    <row r="121" spans="1:17" ht="84" customHeight="1">
      <c r="A121" s="1" t="s">
        <v>189</v>
      </c>
      <c r="B121" s="1" t="s">
        <v>190</v>
      </c>
      <c r="C121" s="1" t="s">
        <v>191</v>
      </c>
      <c r="D121" s="1" t="s">
        <v>192</v>
      </c>
      <c r="E121" s="1" t="s">
        <v>193</v>
      </c>
      <c r="F121" s="1" t="s">
        <v>194</v>
      </c>
      <c r="G121" s="1" t="s">
        <v>195</v>
      </c>
      <c r="H121" s="1" t="s">
        <v>55</v>
      </c>
      <c r="I121" s="1" t="s">
        <v>56</v>
      </c>
      <c r="J121" s="1" t="s">
        <v>34</v>
      </c>
      <c r="K121" s="1" t="s">
        <v>35</v>
      </c>
      <c r="L121" s="1" t="s">
        <v>220</v>
      </c>
      <c r="M121" s="1" t="s">
        <v>75</v>
      </c>
      <c r="N121" s="1" t="s">
        <v>217</v>
      </c>
      <c r="O121" s="2"/>
      <c r="P121" s="2"/>
      <c r="Q121" s="2"/>
    </row>
  </sheetData>
  <phoneticPr fontId="5" type="noConversion"/>
  <dataValidations count="1">
    <dataValidation type="whole" allowBlank="1" showInputMessage="1" showErrorMessage="1" sqref="O1:O1048576" xr:uid="{52120FD6-C23D-5E48-831B-D4417785116B}">
      <formula1>0</formula1>
      <formula2>5</formula2>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showGridLines="0" workbookViewId="0">
      <selection activeCell="D16" sqref="D16"/>
    </sheetView>
  </sheetViews>
  <sheetFormatPr baseColWidth="10" defaultColWidth="8.83203125" defaultRowHeight="14"/>
  <cols>
    <col min="1" max="1" width="20.1640625" customWidth="1"/>
    <col min="2" max="2" width="36.1640625" customWidth="1"/>
    <col min="4" max="4" width="20.1640625" customWidth="1"/>
    <col min="5" max="5" width="36.1640625" customWidth="1"/>
    <col min="7" max="7" width="20.1640625" customWidth="1"/>
    <col min="8" max="8" width="36.1640625" customWidth="1"/>
  </cols>
  <sheetData>
    <row r="1" spans="1:8" ht="19">
      <c r="A1" s="12" t="s">
        <v>221</v>
      </c>
      <c r="B1" s="12"/>
      <c r="C1" s="12"/>
      <c r="D1" s="12"/>
    </row>
    <row r="2" spans="1:8" ht="15">
      <c r="D2" s="4" t="s">
        <v>222</v>
      </c>
      <c r="E2" s="4" t="s">
        <v>4</v>
      </c>
      <c r="G2" s="4" t="s">
        <v>9</v>
      </c>
      <c r="H2" s="4" t="s">
        <v>10</v>
      </c>
    </row>
    <row r="3" spans="1:8" ht="30">
      <c r="A3" s="3" t="s">
        <v>223</v>
      </c>
      <c r="B3" s="1">
        <v>6</v>
      </c>
      <c r="C3" s="1"/>
      <c r="D3" s="1" t="s">
        <v>16</v>
      </c>
      <c r="E3" s="1" t="s">
        <v>20</v>
      </c>
      <c r="F3" s="1"/>
      <c r="G3" s="1" t="s">
        <v>25</v>
      </c>
      <c r="H3" s="1" t="s">
        <v>26</v>
      </c>
    </row>
    <row r="4" spans="1:8" ht="30">
      <c r="A4" s="3" t="s">
        <v>224</v>
      </c>
      <c r="B4" s="1">
        <v>4</v>
      </c>
      <c r="C4" s="1"/>
      <c r="D4" s="1" t="s">
        <v>61</v>
      </c>
      <c r="E4" s="1" t="s">
        <v>20</v>
      </c>
      <c r="F4" s="1"/>
      <c r="G4" s="1" t="s">
        <v>29</v>
      </c>
      <c r="H4" s="1" t="s">
        <v>30</v>
      </c>
    </row>
    <row r="5" spans="1:8" ht="30">
      <c r="A5" s="3" t="s">
        <v>225</v>
      </c>
      <c r="B5" s="1">
        <v>5</v>
      </c>
      <c r="C5" s="1"/>
      <c r="D5" s="1" t="s">
        <v>95</v>
      </c>
      <c r="E5" s="1" t="s">
        <v>98</v>
      </c>
      <c r="F5" s="1"/>
      <c r="G5" s="1" t="s">
        <v>31</v>
      </c>
      <c r="H5" s="1" t="s">
        <v>32</v>
      </c>
    </row>
    <row r="6" spans="1:8" ht="16">
      <c r="A6" s="3" t="s">
        <v>226</v>
      </c>
      <c r="B6" s="1">
        <v>120</v>
      </c>
      <c r="C6" s="1"/>
      <c r="D6" s="1" t="s">
        <v>126</v>
      </c>
      <c r="E6" s="1" t="s">
        <v>130</v>
      </c>
      <c r="F6" s="1"/>
      <c r="G6" s="1" t="s">
        <v>34</v>
      </c>
      <c r="H6" s="1" t="s">
        <v>35</v>
      </c>
    </row>
    <row r="7" spans="1:8" ht="30">
      <c r="A7" s="3" t="s">
        <v>227</v>
      </c>
      <c r="B7" s="1" t="s">
        <v>228</v>
      </c>
      <c r="C7" s="1"/>
      <c r="D7" s="1" t="s">
        <v>158</v>
      </c>
      <c r="E7" s="1" t="s">
        <v>161</v>
      </c>
      <c r="F7" s="1"/>
      <c r="G7" s="1"/>
      <c r="H7" s="1"/>
    </row>
    <row r="8" spans="1:8" ht="30">
      <c r="A8" s="3" t="s">
        <v>229</v>
      </c>
      <c r="B8" s="1" t="s">
        <v>230</v>
      </c>
      <c r="C8" s="1"/>
      <c r="D8" s="1" t="s">
        <v>189</v>
      </c>
      <c r="E8" s="1" t="s">
        <v>193</v>
      </c>
      <c r="F8" s="1"/>
      <c r="G8" s="1"/>
      <c r="H8" s="1"/>
    </row>
    <row r="9" spans="1:8">
      <c r="A9" s="1"/>
      <c r="B9" s="1"/>
      <c r="C9" s="1"/>
      <c r="D9" s="1"/>
      <c r="E9" s="1"/>
      <c r="F9" s="1"/>
      <c r="G9" s="1"/>
      <c r="H9" s="1"/>
    </row>
    <row r="10" spans="1:8">
      <c r="A10" s="1"/>
      <c r="B10" s="1"/>
      <c r="C10" s="1"/>
      <c r="D10" s="1"/>
      <c r="E10" s="1"/>
      <c r="F10" s="1"/>
    </row>
    <row r="11" spans="1:8">
      <c r="A11" s="1"/>
      <c r="B11" s="1"/>
      <c r="C11" s="1"/>
      <c r="D11" s="1"/>
      <c r="E11" s="1"/>
      <c r="F11" s="1"/>
    </row>
    <row r="12" spans="1:8">
      <c r="A12" s="1"/>
      <c r="B12" s="1"/>
      <c r="C12" s="1"/>
      <c r="D12" s="1"/>
      <c r="E12" s="1"/>
      <c r="F12" s="1"/>
    </row>
    <row r="13" spans="1:8">
      <c r="A13" s="1"/>
      <c r="B13" s="1"/>
      <c r="C13" s="1"/>
      <c r="D13" s="1"/>
      <c r="E13" s="1"/>
      <c r="F13" s="1"/>
    </row>
    <row r="14" spans="1:8">
      <c r="A14" s="1"/>
      <c r="B14" s="1"/>
      <c r="C14" s="1"/>
      <c r="D14" s="1"/>
      <c r="E14" s="1"/>
      <c r="F14" s="1"/>
    </row>
    <row r="15" spans="1:8">
      <c r="A15" s="1"/>
      <c r="B15" s="1"/>
      <c r="C15" s="1"/>
      <c r="D15" s="1"/>
      <c r="E15" s="1"/>
      <c r="F15" s="1"/>
    </row>
  </sheetData>
  <mergeCells count="1">
    <mergeCell ref="A1:D1"/>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showGridLines="0" workbookViewId="0">
      <selection activeCell="B3" sqref="B3"/>
    </sheetView>
  </sheetViews>
  <sheetFormatPr baseColWidth="10" defaultColWidth="8.83203125" defaultRowHeight="14"/>
  <cols>
    <col min="1" max="6" width="18.33203125" customWidth="1"/>
  </cols>
  <sheetData>
    <row r="1" spans="1:6" ht="15">
      <c r="A1" s="5" t="s">
        <v>0</v>
      </c>
      <c r="B1" s="5" t="s">
        <v>226</v>
      </c>
      <c r="C1" s="5" t="s">
        <v>231</v>
      </c>
      <c r="D1" s="5" t="s">
        <v>232</v>
      </c>
      <c r="E1" s="5" t="s">
        <v>233</v>
      </c>
      <c r="F1" s="5" t="s">
        <v>234</v>
      </c>
    </row>
    <row r="2" spans="1:6">
      <c r="A2" t="s">
        <v>16</v>
      </c>
      <c r="B2" s="6">
        <f>COUNTIF(人工评分!$A$2:$A$21,A2)+1</f>
        <v>20</v>
      </c>
      <c r="C2" s="6">
        <f>COUNTIFS(人工评分!$A$2:$A$121,A2,人工评分!$O$2:$O$121,"&gt;=0",人工评分!$O$2:$O$121,"&lt;=5")+1</f>
        <v>20</v>
      </c>
      <c r="D2" s="6">
        <f t="shared" ref="D2:D7" si="0">B2-C2</f>
        <v>0</v>
      </c>
      <c r="E2" s="7">
        <f t="shared" ref="E2:E7" si="1">IF(B2=0,"",C2/B2)</f>
        <v>1</v>
      </c>
      <c r="F2" s="8">
        <f>IFERROR(AVERAGEIF(人工评分!$A$2:$A$121,A2,人工评分!$O$2:$O$121),"")</f>
        <v>3.736842105263158</v>
      </c>
    </row>
    <row r="3" spans="1:6">
      <c r="A3" t="s">
        <v>61</v>
      </c>
      <c r="B3" s="6">
        <f>COUNTIF(人工评分!$A$2:$A$121,A3)</f>
        <v>20</v>
      </c>
      <c r="C3" s="6">
        <f>COUNTIFS(人工评分!$A$2:$A$121,A3,人工评分!$O$2:$O$121,"&gt;=0",人工评分!$O$2:$O$121,"&lt;=2")</f>
        <v>0</v>
      </c>
      <c r="D3" s="6">
        <f t="shared" si="0"/>
        <v>20</v>
      </c>
      <c r="E3" s="7">
        <f t="shared" si="1"/>
        <v>0</v>
      </c>
      <c r="F3" s="8" t="str">
        <f>IFERROR(AVERAGEIF(人工评分!$A$2:$A$121,A3,人工评分!$O$2:$O$121),"")</f>
        <v/>
      </c>
    </row>
    <row r="4" spans="1:6">
      <c r="A4" t="s">
        <v>95</v>
      </c>
      <c r="B4" s="6">
        <f>COUNTIF(人工评分!$A$2:$A$121,A4)</f>
        <v>20</v>
      </c>
      <c r="C4" s="6">
        <f>COUNTIFS(人工评分!$A$2:$A$121,A4,人工评分!$O$2:$O$121,"&gt;=0",人工评分!$O$2:$O$121,"&lt;=2")</f>
        <v>0</v>
      </c>
      <c r="D4" s="6">
        <f t="shared" si="0"/>
        <v>20</v>
      </c>
      <c r="E4" s="7">
        <f t="shared" si="1"/>
        <v>0</v>
      </c>
      <c r="F4" s="8" t="str">
        <f>IFERROR(AVERAGEIF(人工评分!$A$2:$A$121,A4,人工评分!$O$2:$O$121),"")</f>
        <v/>
      </c>
    </row>
    <row r="5" spans="1:6">
      <c r="A5" t="s">
        <v>126</v>
      </c>
      <c r="B5" s="6">
        <f>COUNTIF(人工评分!$A$2:$A$121,A5)</f>
        <v>20</v>
      </c>
      <c r="C5" s="6">
        <f>COUNTIFS(人工评分!$A$2:$A$121,A5,人工评分!$O$2:$O$121,"&gt;=0",人工评分!$O$2:$O$121,"&lt;=2")</f>
        <v>0</v>
      </c>
      <c r="D5" s="6">
        <f t="shared" si="0"/>
        <v>20</v>
      </c>
      <c r="E5" s="7">
        <f t="shared" si="1"/>
        <v>0</v>
      </c>
      <c r="F5" s="8" t="str">
        <f>IFERROR(AVERAGEIF(人工评分!$A$2:$A$121,A5,人工评分!$O$2:$O$121),"")</f>
        <v/>
      </c>
    </row>
    <row r="6" spans="1:6">
      <c r="A6" t="s">
        <v>158</v>
      </c>
      <c r="B6" s="6">
        <f>COUNTIF(人工评分!$A$2:$A$121,A6)</f>
        <v>20</v>
      </c>
      <c r="C6" s="6">
        <f>COUNTIFS(人工评分!$A$2:$A$121,A6,人工评分!$O$2:$O$121,"&gt;=0",人工评分!$O$2:$O$121,"&lt;=2")</f>
        <v>0</v>
      </c>
      <c r="D6" s="6">
        <f t="shared" si="0"/>
        <v>20</v>
      </c>
      <c r="E6" s="7">
        <f t="shared" si="1"/>
        <v>0</v>
      </c>
      <c r="F6" s="8" t="str">
        <f>IFERROR(AVERAGEIF(人工评分!$A$2:$A$121,A6,人工评分!$O$2:$O$121),"")</f>
        <v/>
      </c>
    </row>
    <row r="7" spans="1:6">
      <c r="A7" t="s">
        <v>189</v>
      </c>
      <c r="B7" s="6">
        <f>COUNTIF(人工评分!$A$2:$A$121,A7)</f>
        <v>20</v>
      </c>
      <c r="C7" s="6">
        <f>COUNTIFS(人工评分!$A$2:$A$121,A7,人工评分!$O$2:$O$121,"&gt;=0",人工评分!$O$2:$O$121,"&lt;=2")</f>
        <v>0</v>
      </c>
      <c r="D7" s="6">
        <f t="shared" si="0"/>
        <v>20</v>
      </c>
      <c r="E7" s="7">
        <f t="shared" si="1"/>
        <v>0</v>
      </c>
      <c r="F7" s="8" t="str">
        <f>IFERROR(AVERAGEIF(人工评分!$A$2:$A$121,A7,人工评分!$O$2:$O$121),"")</f>
        <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人工评分</vt:lpstr>
      <vt:lpstr>说明</vt:lpstr>
      <vt:lpstr>评分进度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f16394</cp:lastModifiedBy>
  <dcterms:modified xsi:type="dcterms:W3CDTF">2026-05-22T07:18:18Z</dcterms:modified>
</cp:coreProperties>
</file>