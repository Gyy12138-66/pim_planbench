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7"/>
  <workbookPr/>
  <mc:AlternateContent xmlns:mc="http://schemas.openxmlformats.org/markup-compatibility/2006">
    <mc:Choice Requires="x15">
      <x15ac:absPath xmlns:x15ac="http://schemas.microsoft.com/office/spreadsheetml/2010/11/ac" url="/Users/0x47/Desktop/pim_planbench/outputs/scoring_v0.3/"/>
    </mc:Choice>
  </mc:AlternateContent>
  <xr:revisionPtr revIDLastSave="0" documentId="11_F256E8D92EB45A186134F3BAFCA3D8D032F66B61" xr6:coauthVersionLast="47" xr6:coauthVersionMax="47" xr10:uidLastSave="{00000000-0000-0000-0000-000000000000}"/>
  <bookViews>
    <workbookView xWindow="4440" yWindow="760" windowWidth="25600" windowHeight="12080" activeTab="1" xr2:uid="{00000000-000D-0000-FFFF-FFFF00000000}"/>
  </bookViews>
  <sheets>
    <sheet name="人工评分" sheetId="1" r:id="rId1"/>
    <sheet name="说明" sheetId="2" r:id="rId2"/>
    <sheet name="评分进度"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3" l="1"/>
  <c r="E7" i="3"/>
  <c r="D7" i="3"/>
  <c r="C7" i="3"/>
  <c r="B7" i="3"/>
  <c r="F6" i="3"/>
  <c r="E6" i="3"/>
  <c r="D6" i="3"/>
  <c r="C6" i="3"/>
  <c r="B6" i="3"/>
  <c r="F5" i="3"/>
  <c r="E5" i="3"/>
  <c r="D5" i="3"/>
  <c r="C5" i="3"/>
  <c r="B5" i="3"/>
  <c r="F4" i="3"/>
  <c r="E4" i="3"/>
  <c r="D4" i="3"/>
  <c r="C4" i="3"/>
  <c r="B4" i="3"/>
  <c r="F3" i="3"/>
  <c r="E3" i="3"/>
  <c r="D3" i="3"/>
  <c r="C3" i="3"/>
  <c r="B3" i="3"/>
  <c r="F2" i="3"/>
  <c r="E2" i="3"/>
  <c r="D2" i="3"/>
  <c r="C2" i="3"/>
  <c r="B2" i="3"/>
</calcChain>
</file>

<file path=xl/sharedStrings.xml><?xml version="1.0" encoding="utf-8"?>
<sst xmlns="http://schemas.openxmlformats.org/spreadsheetml/2006/main" count="1348" uniqueCount="238">
  <si>
    <t>任务ID</t>
  </si>
  <si>
    <t>难度</t>
  </si>
  <si>
    <t>领域</t>
  </si>
  <si>
    <t>任务类型</t>
  </si>
  <si>
    <t>PDE/系统</t>
  </si>
  <si>
    <t>题面英文</t>
  </si>
  <si>
    <t>评价角度</t>
  </si>
  <si>
    <t>评价角度英文</t>
  </si>
  <si>
    <t>Facet ID</t>
  </si>
  <si>
    <t>模型</t>
  </si>
  <si>
    <t>模型原名</t>
  </si>
  <si>
    <t>模型回答</t>
  </si>
  <si>
    <t>私有参考要点</t>
  </si>
  <si>
    <t>评分标准0-5</t>
  </si>
  <si>
    <t>你的评分0-5</t>
  </si>
  <si>
    <t>错误标签</t>
  </si>
  <si>
    <t>备注</t>
  </si>
  <si>
    <t>初步评分参考</t>
  </si>
  <si>
    <t>easy_poisson_2d_source_003</t>
  </si>
  <si>
    <t>easy</t>
  </si>
  <si>
    <t>potential_fields</t>
  </si>
  <si>
    <t>forward_pde_solving</t>
  </si>
  <si>
    <t>2D Poisson equation</t>
  </si>
  <si>
    <t>A researcher wants to solve a two-dimensional Poisson problem on a rectangular domain. The source term is known, and Dirichlet boundary values are prescribed on the boundary. Design a physics-informed modeling workflow to approximate the scalar field.</t>
  </si>
  <si>
    <t>问题形式化</t>
  </si>
  <si>
    <t>Problem Formalization</t>
  </si>
  <si>
    <t>problem_formalization</t>
  </si>
  <si>
    <t>DeepSeek-V4-Flash</t>
  </si>
  <si>
    <t>deepseek-ai/DeepSeek-V4-Flash</t>
  </si>
  <si>
    <t>The problem is to solve the 2D Poisson equation ∇²u = f(x,y) on a rectangular domain Ω = [a,b]×[c,d] with known source term f and Dirichlet boundary conditions u = g(x,y) on ∂Ω. The goal is to approximate the scalar field u(x,y) using a physics-informed model. The domain geometry and boundary conditions are fully specified, but the exact functional forms of f and g are not provided; they are assumed known for the workflow.</t>
  </si>
  <si>
    <t>关键点: identifies a 2D elliptic Poisson boundary-value problem; states scalar field u(x,y) as unknown; recognizes source term is known; states source term and sign convention explicitly
变量: x; y; u(x,y)
已知参数: f(x,y)=2*pi^2*sin(pi*x)*sin(pi*y)
未知量: u(x,y)
域/参数: space: (x,y) in [0,1]^2 | time: not applicable source: 2*pi^2*sin(pi*x)*sin(pi*y)
Facet cap rules: answer gives only a generic PINN workflow without task-specific residuals, constraints, or risks =&gt; max 3. Generic correctness should not receive full credit in a task-specific planning benchmark.; confuses Poisson with Laplace by dropping the source =&gt; max 2. The source term is central to the task.; adds a time dimension or IC =&gt; max 2. This is a steady elliptic problem.</t>
  </si>
  <si>
    <t>0=无可用形式化；1=只复述题面；2=识别部分变量/目标但有重大遗漏；3=基本正确但不完整；4=明确区分未知量、已知量、数据、域和任务目标；5=完整精确，并在不编造条件的前提下标出缺失规格。</t>
  </si>
  <si>
    <t>Kimi-K2.6</t>
  </si>
  <si>
    <t>Pro/moonshotai/Kimi-K2.6</t>
  </si>
  <si>
    <t>Define the boundary-value problem ∇²u = f on a rectangular domain Ω ⊂ ℝ² with u = g on ∂Ω, where f is the known source term and g prescribes Dirichlet values. Domain extents, the explicit functional forms of f and g, and any coefficient fields are unspecified; they must be provided as callable functions or discrete data to instantiate the workflow. The target is a surrogate u_θ(x,y) that maps coordinates to the scalar field.</t>
  </si>
  <si>
    <t>GLM-4.7</t>
  </si>
  <si>
    <t>Pro/zai-org/GLM-4.7</t>
  </si>
  <si>
    <t>The objective is to approximate the scalar field $u(x, y)$ satisfying the Poisson equation $\nabla^2 u = f(x, y)$ on a rectangular domain $\Omega = [x_{min}, x_{max}] \times [y_{min}, y_{max}]$. The solution must satisfy Dirichlet boundary conditions $u = g(x, y)$ on $\partial \Omega$. Specific details missing from the prompt include the explicit functional form of the source term $f(x, y)$, the boundary function $g(x, y)$, and the specific dimensions of the rectangle. The workflow will treat these as generic inputs to be defined by the user prior to execution.</t>
  </si>
  <si>
    <t>物理约束</t>
  </si>
  <si>
    <t>Physics Constraints</t>
  </si>
  <si>
    <t>physics_constraints</t>
  </si>
  <si>
    <t>The model must satisfy the Poisson equation ∇²u - f = 0 in Ω and the Dirichlet condition u - g = 0 on ∂Ω. These are enforced as soft constraints via loss terms. No additional physical constraints (e.g., conservation laws, symmetry) are specified. The PDE is elliptic, so the solution is smooth given smooth f and g.</t>
  </si>
  <si>
    <t>关键点: includes Poisson residual with source term; includes Dirichlet boundary enforcement; does not introduce time or initial conditions; enforces Poisson residual with correct source term and sign
Canonical PDE: -Delta u(x,y) = f(x,y), with f(x,y)=2*pi^2*sin(pi*x)*sin(pi*y)
约束: boundary_conditions: u(x,y)=0 on the boundary of [0,1]^2
参考条件: boundary: u=0 on all sides of [0,1]^2
Facet cap rules: answer gives only a generic PINN workflow without task-specific residuals, constraints, or risks =&gt; max 3. Generic correctness should not receive full credit in a task-specific planning benchmark.; confuses Poisson with Laplace by dropping the source =&gt; max 2. The source term is central to the task.; adds a time dimension or IC =&gt; max 2. This is a steady elliptic problem.</t>
  </si>
  <si>
    <t>0=遗漏或写错核心物理约束；1=只泛泛说满足 PDE；2=包含部分约束但漏 IC/BC/观测/特殊约束；3=主要 residual 与条件基本正确；4=明确给出 residual、作用区域、IC/BC/观测和物理假设；5=进一步识别兼容性、守恒、散度、变系数、正则性等任务特异要求。</t>
  </si>
  <si>
    <t>Enforce the Poisson residual ∇²u_θ − f = 0 at interior collocation points and the Dirichlet condition u_θ = g on the boundary. Because the problem is elliptic, the interior solution is entirely determined by the boundary data and source; there are no initial conditions or convective fluxes. If the source or boundary data lacks regularity (e.g., discontinuities or corners), the classical solution assumption may fail and must be regularized or treated with enriched basis functions.</t>
  </si>
  <si>
    <t>The model must satisfy the governing PDE constraint: $\frac{\partial^2 u}{\partial x^2} + \frac{\partial^2 u}{\partial y^2} - f(x, y) = 0$ at all interior collocation points. Additionally, the solution must strictly adhere to the Dirichlet boundary condition constraint: $u(x, y) - g(x, y) = 0$ for all points on the domain boundary. The solution is expected to be continuous and twice differentiable within the domain.</t>
  </si>
  <si>
    <t>模型选择</t>
  </si>
  <si>
    <t>Model Choice</t>
  </si>
  <si>
    <t>model_choice</t>
  </si>
  <si>
    <t>A fully-connected neural network (NN) with 4-6 hidden layers and 50-100 neurons per layer is suitable. The NN takes (x,y) as input and outputs u_θ(x,y). This choice is justified because: (1) the domain is rectangular and low-dimensional, (2) no observational data is available, only PDE and BC constraints, (3) NNs are universal approximators and can be trained via automatic differentiation to satisfy the PDE. Activation functions like tanh or Swish are preferred for smoothness. The model is simple and avoids overfitting due to the physics-informed loss.</t>
  </si>
  <si>
    <t>关键点: chooses a PINN/neural field for an elliptic PDE; states sign convention or handles it consistently
可接受模型: PINN; physics-informed neural network; standard neural field with PDE residual
Facet cap rules: answer gives only a generic PINN workflow without task-specific residuals, constraints, or risks =&gt; max 3. Generic correctness should not receive full credit in a task-specific planning benchmark.</t>
  </si>
  <si>
    <t>0=无合适模型；1=泛称 NN/PINN；2=模型可行但理由弱；3=模型类别、输入输出和基本理由正确；4=架构与 PDE 类型、数据、导数、约束和正/反问题匹配；5=能针对高频、刚性、守恒、多尺度、复杂几何或可辨识性做任务感知选择。</t>
  </si>
  <si>
    <t>Use a fully-connected neural network (PINN) with 3–5 hidden layers of 32–64 neurons and a smooth activation (tanh or sinusoidal). A coordinate-input architecture (x,y) → u_θ is appropriate because the domain is low-dimensional and static. If the rectangular domain is axis-aligned, optionally multiply the network output by a smooth distance function to the boundary so that u_θ exactly satisfies Dirichlet conditions, removing the need for a soft boundary penalty. Fourier feature embeddings can be added if high-frequency content in f or g is suspected.</t>
  </si>
  <si>
    <t>A fully connected Multi-Layer Perceptron (MLP) is selected due to its ability to approximate continuous functions on rectangular domains effectively. The network will take 2D coordinates $(x, y)$ as input and output a scalar value $u$. Hyperbolic tangent (Tanh) or Swish activation functions are recommended to ensure smoothness required for calculating second-order derivatives. A standard architecture (e.g., 4 hidden layers with 50-100 neurons each) provides sufficient capacity for this elliptic problem without excessive computational cost.</t>
  </si>
  <si>
    <t>训练策略</t>
  </si>
  <si>
    <t>Training Strategy</t>
  </si>
  <si>
    <t>training_strategy</t>
  </si>
  <si>
    <t>Loss function: L = λ_PDE * L_PDE + λ_BC * L_BC, where L_PDE = (1/N_PDE) Σ (∇²u_θ - f)² over collocation points in Ω, and L_BC = (1/N_BC) Σ (u_θ - g)² on boundary points. Use Latin hypercube or random sampling for N_PDE ≈ 10,000 interior points and N_BC ≈ 500 boundary points. Optimizer: Adam with learning rate 1e-3 for 10,000 iterations, then L-BFGS for fine-tuning. λ_PDE and λ_BC can be set to 1 initially or adaptively weighted. Use Xavier initialization and mini-batching if needed. Validation: monitor loss components and solution smoothness.</t>
  </si>
  <si>
    <t>关键点: samples interior collocation points and all boundary sides; weights boundary loss adequately; normalizes coordinates or domain
期望 loss: Poisson residual loss; Dirichlet boundary loss; Poisson source residual loss
期望训练策略: sample interior collocation points; sample boundary points on all sides; state the sign convention for the Poisson equation; normalize coordinates
Facet cap rules: answer gives only a generic PINN workflow without task-specific residuals, constraints, or risks =&gt; max 3. Generic correctness should not receive full credit in a task-specific planning benchmark.</t>
  </si>
  <si>
    <t>0=无可用训练方案；1=只泛称训练/最小化误差；2=有部分 loss 但漏关键项；3=包含 PDE、IC/BC/数据 loss、采样和优化；4=含归一化、Adam+L-BFGS、loss balancing、稳定性或监控；5=针对刚性、高频、长时程、边界层、多尺度、inverse/noisy 等困难给出具体训练策略。</t>
  </si>
  <si>
    <t>Minimize the composite loss L = L_interior + λ L_boundary, where L_interior is the mean squared Poisson residual at collocation points and L_boundary is the MSE on boundary samples. Sample interior points via Latin Hypercube Sampling or a uniform mesh, and place boundary points densely on the four edges. Start with Adam (learning rate 1e−3, decay) for 20k–50k iterations, then switch to L-BFGS to tighten the residual. Set λ ≈ 1–100; if exact BC enforcement is not used, adapt λ via NTK weighting or gradient norm balancing. Monitor the PDE residual and boundary error separately.</t>
  </si>
  <si>
    <t>The training minimizes a composite loss function $L = \lambda_{pde} L_{PDE} + \lambda_{bc} L_{BC}$. $L_{PDE}$ is the Mean Squared Error (MSE) of the PDE residual evaluated on $N_f$ collocation points sampled uniformly or via Latin Hypercube Sampling inside the domain. $L_{BC}$ is the MSE of the boundary condition error evaluated on $N_b$ points sampled on the rectangle edges. Optimization will proceed using the Adam optimizer for initial convergence, followed by the L-BFGS optimizer for high-precision refinement. Weights $\lambda$ may be dynamically adjusted if loss scales differ significantly.</t>
  </si>
  <si>
    <t>验证与失败风险</t>
  </si>
  <si>
    <t>Validation Failure Risks</t>
  </si>
  <si>
    <t>validation_failure_risks</t>
  </si>
  <si>
    <t>Risks include: (1) Insufficient collocation points leading to poor PDE satisfaction, especially near boundaries or sharp gradients. (2) Imbalanced loss weights causing the model to prioritize BC over PDE or vice versa. (3) Spectral bias of NNs failing to capture high-frequency components of the solution. (4) Overfitting to collocation points if the NN is too large relative to N_PDE. (5) Non-unique solutions if the PDE is not well-posed (e.g., missing BC on part of boundary). Mitigations: increase N_PDE, use adaptive sampling (e.g., residual-based refinement), employ Fourier feature embeddings, and perform sensitivity analysis on loss weights.</t>
  </si>
  <si>
    <t>关键点: checks residual error; checks boundary error; compares to analytic or numerical reference
期望验证: compare with analytical solution u=sin(pi*x)*sin(pi*y); report residual error; report boundary error
Failure traps: misses source term; confuses Poisson with Laplace; omits boundary loss; uses the opposite sign convention without stating it; omits source term or incorrectly assumes Laplace equation
Facet cap rules: answer gives only a generic PINN workflow without task-specific residuals, constraints, or risks =&gt; max 3. Generic correctness should not receive full credit in a task-specific planning benchmark.</t>
  </si>
  <si>
    <t>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t>
  </si>
  <si>
    <t>Primary risks include: (1) spectral bias preventing capture of high-frequency modes in f or g; (2) imbalanced loss weights causing either large boundary errors or large interior residuals; (3) collocation undersampling near regions where ∇²u changes rapidly; (4) training stagnation in local minima, especially if the aspect ratio is extreme; (5) absence of a reference solution or field observations means generalization error can only be bounded via residual monitoring or domain-decomposition consistency checks, not direct error measurement. Additionally, if f or g is non-smooth, standard PINN assumptions break down and predicted gradients will be unreliable.</t>
  </si>
  <si>
    <t>Primary risks include spectral bias, where the network fails to capture high-frequency features in the source term or boundary conditions, and boundary leakage, where soft constraints result in small but non-zero errors at the edges. Optimization may also stagnate in local minima if the PDE and BC losses conflict. To mitigate these, validation should be performed on a held-out set of random points, monitoring both residual error and boundary error. If boundary leakage is severe, a hard constraint approach (modifying the network output to analytically satisfy BCs) should be considered.</t>
  </si>
  <si>
    <t>easy_wave_1d_icbc_002</t>
  </si>
  <si>
    <t>wave_propagation</t>
  </si>
  <si>
    <t>1D wave equation</t>
  </si>
  <si>
    <t>A scientist needs to approximate the displacement of a one-dimensional vibrating string. The wave speed is known, both the initial displacement and initial velocity are provided, and the endpoint boundary conditions are fixed. Design a physics-informed modeling workflow for the displacement field.</t>
  </si>
  <si>
    <t>The problem is to approximate the displacement u(x,t) of a one-dimensional vibrating string of length L over time T. The wave speed c is known. Initial displacement u(x,0) and initial velocity u_t(x,0) are provided. Boundary conditions are fixed (Dirichlet) at both endpoints: u(0,t)=0 and u(L,t)=0. The governing PDE is the wave equation: u_tt = c^2 u_xx. The domain is (x,t) in [0,L] x [0,T]. The task is to learn the solution u(x,t) that satisfies the PDE, initial conditions, and boundary conditions.</t>
  </si>
  <si>
    <t>关键点: identifies a 1D second-order wave equation; states displacement u(x,t) as the unknown; recognizes known wave speed and forward-solve setting; explicitly list both initial displacement and initial velocity conditions
变量: x; t; u(x,t)
已知参数: c = 1.0
未知量: u(x,t)
域/参数: space: x in [0,1] | time: t in [0,1] c: 1.0
Facet cap rules: answer gives only a generic PINN workflow without task-specific residuals, constraints, or risks =&gt; max 3. Generic correctness should not receive full credit in a task-specific planning benchmark.; treats the wave equation as parabolic diffusion =&gt; max 2. The PDE type and dynamics are wrong.</t>
  </si>
  <si>
    <t>Model the scalar displacement u(x,t) of a homogeneous 1D string governed by the wave equation u_tt - c^2 u_xx = 0 on x in (0,L) and t in (0,T], with fixed Dirichlet boundaries u(0,t) = u(L,t) = 0, initial displacement u(x,0) = f(x), and initial velocity u_t(x,0) = g(x). The wave speed c is known. The domain length L, final time T, and any external forcing are not specified; L and T must be provided to define the computational domain, and forcing is assumed zero unless stated otherwise.</t>
  </si>
  <si>
    <t>The objective is to approximate the displacement field $u(x,t)$ of a vibrating string over a spatial domain $x \in [0, L]$ and temporal domain $t \in [0, T]$. The inputs to the model are the coordinates $(x, t)$, and the output is the scalar displacement $u$. The problem is treated as a function approximation task constrained by the wave equation, where the 'data' consists of the provided initial displacement profile, initial velocity profile, and the fixed boundary values. Note: The specific length of the string $L$ and the time horizon $T$ are not specified in the prompt and must be defined to normalize inputs and sample collocation points.</t>
  </si>
  <si>
    <t>The physics constraints are: (1) The wave equation u_tt - c^2 u_xx = 0 in the interior. (2) Initial condition: u(x,0) = f(x) (given). (3) Initial velocity: u_t(x,0) = g(x) (given). (4) Boundary conditions: u(0,t)=0, u(L,t)=0. These constraints will be enforced as loss terms in a physics-informed neural network (PINN). The PDE residual is computed at collocation points in the domain. Initial condition and boundary condition losses are computed at respective points. The wave speed c is known and fixed.</t>
  </si>
  <si>
    <t>关键点: includes wave-equation residual with second time derivative; includes both initial displacement and initial velocity; includes fixed endpoint boundary conditions
Canonical PDE: u_tt = c^2 * u_xx, with c = 1.0
约束: initial_condition: u(x,0)=sin(pi*x); u_t(x,0)=0 | boundary_conditions: u(0,t)=0; u(1,t)=0
参考条件: initial: u(x,0)=sin(pi*x); u_t(x,0)=0 | boundary: u(0,t)=0; u(1,t)=0
Facet cap rules: answer gives only a generic PINN workflow without task-specific residuals, constraints, or risks =&gt; max 3. Generic correctness should not receive full credit in a task-specific planning benchmark.; mentions only one initial condition =&gt; max 3. A second-order wave equation requires displacement and velocity initial data.</t>
  </si>
  <si>
    <t>Enforce zero PDE residual in the interior, exact Dirichlet conditions at both endpoints for all time, and both initial conditions at t=0. The initial data must be compatible with the boundaries (f(0)=f(L)=0). Because no damping or forcing is specified, the model assumes a conservative hyperbolic system; if dissipation or sources exist, the current formulation is misspecified.</t>
  </si>
  <si>
    <t>The system is governed by the 1D Wave Equation: $\frac{\partial^2 u}{\partial t^2} - c^2 \frac{\partial^2 u}{\partial x^2} = 0$, where $c$ is the known wave speed. The boundary conditions are Dirichlet type (fixed endpoints): $u(0, t) = 0$ and $u(L, t) = 0$. The initial conditions are $u(x, 0) = u_0(x)$ (initial displacement) and $\frac{\partial u}{\partial t}(x, 0) = v_0(x)$ (initial velocity). The model must satisfy these constraints exactly or within a small tolerance.</t>
  </si>
  <si>
    <t>A physics-informed neural network (PINN) is chosen because it naturally incorporates the PDE, initial conditions, and boundary conditions into the loss function. The network takes (x,t) as input and outputs u(x,t). A fully connected feedforward network with 4-6 hidden layers, 50-100 neurons per layer, and tanh activation is suitable for this smooth 1D wave problem. The network must be sufficiently deep to capture the solution's complexity. Alternative spectral methods could be used but PINN is flexible for irregular domains and noisy data. The model choice is justified by the need to embed known physics directly into training.</t>
  </si>
  <si>
    <t>关键点: chooses a PINN or equivalent model capable of second derivatives; does not reduce the problem to a first-order heat/advection equation
可接受模型: PINN; physics-informed neural network
Facet cap rules: answer gives only a generic PINN workflow without task-specific residuals, constraints, or risks =&gt; max 3. Generic correctness should not receive full credit in a task-specific planning benchmark.; treats the wave equation as parabolic diffusion =&gt; max 2. The PDE type and dynamics are wrong.</t>
  </si>
  <si>
    <t>Use a Physics-Informed Neural Network (PINN) with a Fourier-feature or sinusoidal-activation MLP (e.g., SIREN) rather than a standard ReLU network. Oscillatory solutions of the wave equation contain multi-frequency standing-wave superpositions that standard deep networks struggle to represent due to spectral bias; positional encoding or sinusoidal activations better capture the high-frequency eigenmodes and propagating wave fronts. The network maps (x,t) to a scalar displacement û(x,t).</t>
  </si>
  <si>
    <t>A Fully Connected Neural Network (FCNN) with 4 to 6 hidden layers and 50 to 100 neurons per layer is recommended. The activation function should be $	anh$ or $\sin$ (SIREN) to handle the oscillatory nature of wave solutions and ensure smooth second-order derivatives. This architecture is suitable because it is a universal approximator capable of representing the continuous solution field, and it allows for efficient computation of the required partial derivatives via automatic differentiation.</t>
  </si>
  <si>
    <t>Training uses a combined loss: L = L_PDE + w_IC * L_IC + w_BC * L_BC, where L_PDE is the mean squared residual of the wave equation at collocation points, L_IC is the mean squared error of u(x,0) and u_t(x,0) against given functions, and L_BC is the mean squared error of u(0,t) and u(L,t) against zero. Weights w_IC and w_BC can be tuned or set adaptively (e.g., using loss balancing). Collocation points are sampled using Latin Hypercube or random sampling in the domain, with higher density near boundaries and initial time if needed. The optimizer is Adam with learning rate 1e-3, followed by L-BFGS for fine-tuning. Training proceeds until loss plateaus. Validation uses a separate set of collocation points and checks PDE residual and IC/BC errors.</t>
  </si>
  <si>
    <t>关键点: uses autodiff for second temporal and spatial derivatives; balances PDE, two IC terms, and BC losses; mentions phase-aware or time-propagation stability considerations; samples separate collocation points for initial displacement and initial velocity; uses two-stage optimization (e.g., Adam then L-BFGS)
期望 loss: PDE residual loss; initial displacement loss; initial velocity loss; Dirichlet boundary loss
期望训练策略: sample collocation points in space-time; use automatic differentiation for second time and spatial derivatives; balance PDE, initial, and boundary losses; consider curriculum or residual-based sampling for wave propagation; sample separate sets of points for initial displacement and initial velocity; use multi-stage optimization schedule
Facet cap rules: answer gives only a generic PINN workflow without task-specific residuals, constraints, or risks =&gt; max 3. Generic correctness should not receive full credit in a task-specific planning benchmark.; mentions only one initial condition =&gt; max 3. A second-order wave equation requires displacement and velocity initial data.</t>
  </si>
  <si>
    <t>Minimize a weighted composite loss L = λ_pde L_pde + λ_bc L_bc + λ_ic_u L_ic_u + λ_ic_v L_ic_v. L_pde penalizes û_tt - c^2 û_xx on space-time collocation points; L_bc enforces û=0 at x=0,L; L_ic_u enforces û(x,0)=f(x); and L_ic_v enforces û_t(x,0)=g(x). Sample collocation points via Latin Hypercube Sampling, with denser sampling along the initial slice and boundaries. Use adaptive weighting (e.g., NTK or GradNorm) to balance gradient magnitudes across terms. Optimize with Adam (lr 1e-3) followed by L-BFGS refinement. To stabilize the hyperbolic evolution, employ a causal/time-marching curriculum: train on progressively longer subintervals [0, T_k] to prevent future-time information from corrupting early-time convergence.</t>
  </si>
  <si>
    <t>The loss function is a composite of the PDE residual, initial conditions, and boundary conditions: $\mathcal{L} = \lambda_{pde} \mathcal{L}_{pde} + \lambda_{ic} \mathcal{L}_{ic} + \lambda_{bc} \mathcal{L}_{bc}$. Collocation points for the PDE loss should be sampled using Latin Hypercube Sampling (LHS) or random sampling across the $(x,t)$ domain. Boundary points are fixed at $x=0$ and $x=L$, and initial points are fixed at $t=0$. Optimization should utilize the Adam optimizer for initial convergence, followed by the L-BFGS-B optimizer for second-order precision. Weights ($\lambda$) may need tuning to balance the influence of the PDE against the boundary/initial constraints.</t>
  </si>
  <si>
    <t>Risks include: (1) Insufficient network capacity leading to underfitting, especially for high-frequency components. (2) Imbalanced loss weights causing the network to ignore one constraint. (3) Poor sampling of collocation points, especially near boundaries or sharp gradients. (4) Numerical instability from automatic differentiation for second-order derivatives. (5) Overfitting to collocation points if too few points are used. (6) Failure to converge due to stiff optimization landscape. Mitigations include adaptive loss weighting, gradient clipping, increasing collocation points, using Fourier feature embeddings for high frequencies, and monitoring validation residuals.</t>
  </si>
  <si>
    <t>关键点: checks displacement error; checks PDE residual and IC/BC errors; checks phase error over time
期望验证: compare displacement against analytical or numerical reference solution; report PDE residual; report boundary and initial condition errors; check phase error over time
Failure traps: uses only one initial condition; omits velocity initial condition; ignores fixed-end boundary conditions; uses a first-order-in-time PDE form without justification; treats displacement and velocity initial conditions identically without separate sampling
Facet cap rules: answer gives only a generic PINN workflow without task-specific residuals, constraints, or risks =&gt; max 3. Generic correctness should not receive full credit in a task-specific planning benchmark.</t>
  </si>
  <si>
    <t>Key risks are: (1) spectral bias causing poor resolution of high-frequency modes or sharp initial gradients (e.g., plucked-string kinks); (2) long-time integration leading to phase drift and energy non-conservation; (3) incompatible initial/boundary data producing persistent boundary artifacts; (4) missing L or T preventing proper domain definition; (5) absence of interior observations so that an incorrect modal superposition may still yield small PDE residuals; and (6) violation of causality if global space-time training allows future states to influence past states.</t>
  </si>
  <si>
    <t>The primary risk is spectral bias, where the network fails to capture high-frequency components present in the initial displacement or velocity profiles. If the wave speed $c$ is high, the problem may become stiff, leading to optimization difficulties and convergence failure. Additionally, if the loss weights are not balanced, the model might prioritize satisfying the PDE in the interior while violating the fixed boundary conditions. The lack of specified domain length $L$ and time $T$ introduces a risk of input scaling errors if arbitrary values are assumed without normalization.</t>
  </si>
  <si>
    <t>medium_periodic_advdiff_015</t>
  </si>
  <si>
    <t>medium</t>
  </si>
  <si>
    <t>transport</t>
  </si>
  <si>
    <t>periodic_constraint_handling</t>
  </si>
  <si>
    <t>Periodic advection-diffusion equation</t>
  </si>
  <si>
    <t>A scientist wants to model a scalar field governed by advection and diffusion on a one-dimensional domain whose endpoints are physically identified. The initial profile is compatible with this topology, and the solution should remain compatible with it over time. Design a physics-informed modeling workflow and state exactly which endpoint constraints are needed for a diffusive transport equation.</t>
  </si>
  <si>
    <t>The problem is a one-dimensional advection-diffusion equation for a scalar field u(x,t) on a domain [0, L] with periodic boundary conditions: u(0,t) = u(L,t) and ∂u/∂x(0,t) = ∂u/∂x(L,t). The initial condition u(x,0) is given and is periodic. The PDE is ∂u/∂t + v ∂u/∂x = D ∂²u/∂x², where v is advection velocity and D is diffusion coefficient. The domain endpoints are physically identified, meaning the field is continuous and smooth across the boundary.</t>
  </si>
  <si>
    <t>关键点: identifies advection-diffusion on a domain with physically identified endpoints; states scalar field u(x,t) and known transport/diffusion coefficients if supplied; recognizes endpoint compatibility must persist over time
变量: x; t; u(x,t)
已知参数: c = 1.0; D = 0.01
未知量: u(x,t)
域/参数: space: x in [0,1] | time: t in [0,1] c: 1.0 | D: 0.01
评分提醒: Public v0.3 describes identified endpoints rather than explicitly saying derivative periodicity. Full credit requires the model to infer value plus derivative or diffusive-flux compatibility for a diffusive transport equation.
Facet cap rules: answer gives only a generic PINN workflow without task-specific residuals, constraints, or risks =&gt; max 3. Generic correctness should not receive full credit in a task-specific planning benchmark.</t>
  </si>
  <si>
    <t>The target is a scalar advection–diffusion equation u_t + c(x,t) u_x = (D(x) u_x)_x on a one-dimensional periodic domain Ω = [0,L) with topology S^1 (endpoints identified) and time t ∈ [0,T]. The initial condition u(x,0) = u_0(x) must satisfy u_0(0)=u_0(L) and u_0'(0)=u_0'(L) to be compatible with the topology. Missing specifications that must be supplied or assumed are: the advection velocity c(x,t), the diffusion coefficient D(x) (or constants), the domain length L, the final time T, and whether any observational data are available. Without these, the forward problem is under-specified and any inferred solution is non-unique.</t>
  </si>
  <si>
    <t>The task involves solving the 1D Advection-Diffusion equation, $ rac{\partial u}{\partial t} + v  rac{\partial u}{\partial x} = D  rac{\partial^2 u}{\partial x^2}$, on a domain $x \in [0, L]$ and $t \in [0, T]$. The topology is periodic, meaning $x=0$ and $x=L$ are physically the same point. Missing information includes the specific values or functional forms for the advection velocity $v$ and the diffusion coefficient $D$, as well as the explicit mathematical form of the initial condition $u_0(x)$ (though it is stated to be topologically compatible). The workflow must account for these missing parameters, either by treating them as trainable hyperparameters or assuming unit values for a generic solver demonstration.</t>
  </si>
  <si>
    <t>The primary constraints are periodic boundary conditions: u(0,t) = u(L,t) and ∂u/∂x(0,t) = ∂u/∂x(L,t). These ensure the solution remains compatible with the topology. Additionally, the initial condition must be periodic. The PDE itself imposes conservation of total mass (if v is constant and no sources) and energy dissipation due to diffusion. No-flux or other boundary conditions are not needed because periodicity inherently conserves mass.</t>
  </si>
  <si>
    <t>关键点: includes advection-diffusion residual; includes initial-condition enforcement; enforces periodic value consistency; enforces derivative or diffusive-flux consistency at the identified endpoints
Canonical PDE: u_t + c * u_x = D * u_xx on a periodic domain, with c = 1.0 and D = 0.01
约束: initial_condition: u(x,0)=sin(2*pi*x) for the reference setting | boundary_conditions: u(0,t)=u(1,t); u_x(0,t)=u_x(1,t)
参考条件: initial: u(x,0)=sin(2*pi*x) | boundary: u(0,t)=u(1,t); u_x(0,t)=u_x(1,t)
评分提醒: Public v0.3 describes identified endpoints rather than explicitly saying derivative periodicity. Full credit requires the model to infer value plus derivative or diffusive-flux compatibility for a diffusive transport equation.
Facet cap rules: answer gives only a generic PINN workflow without task-specific residuals, constraints, or risks =&gt; max 3. Generic correctness should not receive full credit in a task-specific planning benchmark.; uses fixed boundary values instead of identified-endpoint periodic constraints =&gt; max 2. The physical topology requires periodic compatibility, not fixed endpoint values.; mentions only value periodicity and ignores derivative or diffusive-flux periodicity =&gt; max 3. A diffusive transport equation requires more than scalar value matching at identified endpoints.</t>
  </si>
  <si>
    <t>Because the domain endpoints are physically identified, the solution must be single-valued and C^1 across the seam. The exact endpoint constraints required for a diffusive transport equation are: (1) periodicity of the scalar field, u(0,t) = u(L,t), and (2) periodicity of the spatial derivative (diffusive flux), u_x(0,t) = u_x(L,t). Additionally, in the absence of source terms on a periodic domain, total mass M(t) = ∫_Ω u(x,t) dx must be conserved in time and the L^2 energy E(t) = ∫_Ω u(x,t)^2 dx must be non-increasing, serving as differential constraints on admissible solutions.</t>
  </si>
  <si>
    <t>The physics-informed loss must enforce the PDE residual $R = u_t + v u_x - D u_{xx} = 0$ throughout the domain. The initial condition $u(x, 0) = u_0(x)$ must be satisfied. Crucially, for a diffusive transport equation on a periodic domain, the endpoint constraints required are the continuity of the field and the continuity of the flux (first derivative). Specifically: 1) Value continuity: $u(0, t) = u(L, t)$; 2) Derivative continuity: $ rac{\partial u}{\partial x}(0, t) =  rac{\partial u}{\partial x}(L, t)$. These ensure the solution is smooth and physically consistent across the identified boundary.</t>
  </si>
  <si>
    <t>A physics-informed neural network (PINN) is appropriate because it can incorporate the PDE and boundary conditions directly into the loss function. The network outputs u(x,t) and uses automatic differentiation to compute residuals. The periodic boundary conditions can be enforced by using a Fourier feature embedding or by adding penalty terms. The model should have enough capacity (e.g., 4-6 hidden layers, 50-100 neurons each) to capture advection and diffusion dynamics. Alternative spectral methods could be used but PINN handles irregular data and missing parameters more flexibly.</t>
  </si>
  <si>
    <t>关键点: chooses PINN with periodic hard constraints, Fourier features, or endpoint compatibility losses; does not use fixed Dirichlet boundaries
可接受模型: PINN with periodic boundary enforcement; Fourier-feature PINN; spectral or operator model if extended
评分提醒: Public v0.3 describes identified endpoints rather than explicitly saying derivative periodicity. Full credit requires the model to infer value plus derivative or diffusive-flux compatibility for a diffusive transport equation.
Facet cap rules: answer gives only a generic PINN workflow without task-specific residuals, constraints, or risks =&gt; max 3. Generic correctness should not receive full credit in a task-specific planning benchmark.</t>
  </si>
  <si>
    <t>A Physics-Informed Neural Network (PINN) with an intrinsically periodic spatial architecture is selected. The spatial coordinate x is embedded via Fourier features {cos(2πkx/L), sin(2πkx/L)} or the network output is constructed as a strictly periodic function in x (e.g., depending on an angular variable z = 2πx/L). This architectural choice strongly enforces both u and u_x periodicity by construction, avoiding penalty-based boundary losses and preventing seam discontinuities. A deep feedforward network operating on these coordinates captures the spectral nature of the periodic domain and accommodates spatially varying coefficients if needed. If observational data become available, the same architecture supports a data-mismatch term without structural change.</t>
  </si>
  <si>
    <t>A fully connected neural network (MLP) with inputs $(x, t)$ and output $u$ is selected. To handle the periodic topology effectively, the network architecture should incorporate periodicity explicitly. This is best achieved by using a Fourier feature embedding for the spatial input (mapping $x$ to $\sin(2\pi x/L)$ and $\cos(2\pi x/L)$)) or using periodic activation functions like SIREN (Sinusoidal Representation Networks). This choice ensures the model naturally satisfies $u(0,t)=u(L,t)$ and reduces the optimization burden compared to enforcing periodicity solely through soft boundary loss terms.</t>
  </si>
  <si>
    <t>The loss function includes: (1) PDE residual: L_pde = mean( (∂u/∂t + v ∂u/∂x - D ∂²u/∂x²)² ), (2) boundary condition loss: L_bc = mean( (u(0,t) - u(L,t))² + (∂u/∂x(0,t) - ∂u/∂x(L,t))² ), (3) initial condition loss: L_ic = mean( (u(x,0) - u0(x))² ). Sampling: collocation points for PDE residual are randomly sampled in the domain (x,t) ∈ [0,L]×[0,T], with higher density near boundaries and initial time. Boundary points are sampled at x=0 and x=L for various t. Initial points are sampled at t=0. Optimizer: Adam first, then L-BFGS for fine-tuning. Learning rate scheduling and gradient clipping may be needed. If v or D are unknown, they can be treated as trainable parameters.</t>
  </si>
  <si>
    <t>关键点: samples matched endpoint pairs; balances residual, IC, value periodicity, and derivative/flux periodicity losses; uses periodic features or hard constraints when practical
期望 loss: periodic advection-diffusion residual loss; initial condition loss; periodic value matching loss at identified endpoints; periodic gradient or diffusive-flux matching loss at identified endpoints; optional periodic feature hard constraint
期望训练策略: sample matched endpoint pairs at the same time values; enforce both value periodicity and derivative or diffusive-flux periodicity for full credit; use Fourier or periodic coordinate features when the period is known; balance residual, initial, and endpoint compatibility losses; validate endpoint compatibility throughout the time interval
评分提醒: Public v0.3 describes identified endpoints rather than explicitly saying derivative periodicity. Full credit requires the model to infer value plus derivative or diffusive-flux compatibility for a diffusive transport equation.
Facet cap rules: answer gives only a generic PINN workflow without task-specific residuals, constraints, or risks =&gt; max 3. Generic correctness should not receive full credit in a task-specific planning benchmark.; uses fixed boundary values instead of identified-endpoint periodic constraints =&gt; max 2. The physical topology requires periodic compatibility, not fixed endpoint values.; mentions only value periodicity and ignores derivative or diffusive-flux periodicity =&gt; max 3. A diffusive transport equation requires more than scalar value matching at identified endpoints.</t>
  </si>
  <si>
    <t>Training uses quasi-random (Sobol) collocation sampling in space–time, with higher density near t = 0 to resolve the initial profile. The loss functional is L = λ_pde L_pde + λ_ic L_ic, where L_pde is the mean squared PDE residual and L_ic is the initial condition mismatch; periodic boundary conditions are satisfied architecturally and do not appear as penalty terms. If architectural enforcement is impractical, add L_bc = &lt;|u(0,t)−u(L,t)|^2 + |u_x(0,t)−u_x(L,t)|^2&gt; with a large weight λ_bc. Optimization begins with Adam (learning rate 1e−3 to 1e−4) and transitions to L-BFGS for high-accuracy convergence. For advection-dominated regimes, employ residual-based adaptive refinement (RAR) to place collocation points near steep gradients, and use time-window curriculum training (progressively expanding [0,T]) to enforce temporal causality and stabilize long-horizon solutions.</t>
  </si>
  <si>
    <t>The loss function is a weighted sum: $L = \lambda_{PDE} L_{PDE} + \lambda_{IC} L_{IC} + \lambda_{BC} L_{BC}$. $L_{PDE}$ is computed on collocation points sampled randomly within $(0, L) 	imes (0, T)$. $L_{IC}$ is computed on points at $t=0$. $L_{BC}$ enforces the periodic constraints $u(0,t)-u(L,t)=0$ and $u_x(0,t)-u_x(L,t)=0$ at the boundaries. Since $v$ and $D$ are unspecified, they will be initialized as trainable parameters (e.g., initialized to 1.0) and optimized alongside the network weights. An Adam optimizer followed by L-BFGS is recommended for convergence.</t>
  </si>
  <si>
    <t>Risks include: (1) Failure to enforce periodicity exactly, leading to discontinuities at the boundary. (2) Insufficient sampling near boundaries causing boundary condition violation. (3) Stiff PDE (high advection or low diffusion) causing training instability. (4) Overfitting to initial condition if too few collocation points. (5) Incorrect handling of advection direction (e.g., if v is large, need upwind-like weighting). (6) Numerical errors from automatic differentiation for high-order derivatives. Mitigations: use Fourier features, adaptive collocation, gradient clipping, and validation against a numerical solver (e.g., finite difference with periodic BCs).</t>
  </si>
  <si>
    <t>关键点: checks periodic value error; checks derivative or diffusive-flux periodicity error; checks residual, phase, and amplitude consistency
期望验证: periodic value error; periodic derivative or diffusive-flux error; residual error; phase and amplitude consistency; field error against analytical or numerical reference when available
Failure traps: uses fixed Dirichlet boundary values; omits endpoint compatibility losses; enforces only value periodicity and ignores gradient or diffusive flux continuity; treats the domain as two unrelated endpoints; ignores advection-diffusion balance or the diffusive regularity requirement; validates only field MSE without endpoint compatibility checks
评分提醒: Public v0.3 describes identified endpoints rather than explicitly saying derivative periodicity. Full credit requires the model to infer value plus derivative or diffusive-flux compatibility for a diffusive transport equation.
Facet cap rules: answer gives only a generic PINN workflow without task-specific residuals, constraints, or risks =&gt; max 3. Generic correctness should not receive full credit in a task-specific planning benchmark.; mentions only value periodicity and ignores derivative or diffusive-flux periodicity =&gt; max 3. A diffusive transport equation requires more than scalar value matching at identified endpoints.</t>
  </si>
  <si>
    <t>Key risks include: (i) Spectral bias—MLPs struggle with high-frequency initial modes or thin internal layers, producing under-resolved solutions. (ii) Advection–diffusion imbalance—high Péclet number regimes cause training instability and failure to capture sharp fronts without adaptive sampling or stabilization. (iii) Weak periodic enforcement—if periodicity is imposed only via loss penalties, numerical drift can break C^1 continuity at the identified endpoints, violating the S^1 topology. (iv) Missing parameters—unspecified c, D, L, or T render the problem ill-posed and prevent quantitative validation. (v) Long-time integration error—PINNs can accumulate temporal error for large T; validation must monitor mass conservation error and energy decay as physics-based sanity checks.</t>
  </si>
  <si>
    <t>Primary risks include the violation of periodicity over long time horizons if the boundary loss weights are too low, leading to 'seams' at $x=0, L$. Spectral bias may prevent the network from learning high-frequency components present in the initial condition $u_0(x)$. Additionally, because the physical parameters $v$ and $D$ are not provided, there is a risk of parameter identifiability issues where the model converges to a non-physical combination of $v$ and $D$ that fits the PDE residual but does not match the true physical system (if observational data were present).</t>
  </si>
  <si>
    <t>hard_plus_acoustic_scattering_maze_022</t>
  </si>
  <si>
    <t>hard_plus</t>
  </si>
  <si>
    <t>acoustics</t>
  </si>
  <si>
    <t>complex_geometry_scattering</t>
  </si>
  <si>
    <t>Acoustic scattering in maze-like geometry</t>
  </si>
  <si>
    <t>An acoustics group wants to model wave scattering in a two-dimensional maze-like domain with internal obstacles. The incident wave, material properties, and boundary descriptions are available, but the geometry is complex and scattered waves interact with many walls. Design a physics-informed modeling workflow that handles geometry, boundary conditions, and scattering-specific validation.</t>
  </si>
  <si>
    <t>We consider the Helmholtz equation for time-harmonic acoustic pressure p(x) in a 2D domain Ω with complex internal obstacles and walls. The incident wave p_inc is known, and the total pressure p satisfies (∇² + k²)p = 0 in Ω, where k = ω/c is the wavenumber, ω angular frequency, c speed of sound. Boundary conditions: on rigid walls (Neumann) ∂p/∂n = 0; on obstacles (Dirichlet or impedance) p = 0 or ∂p/∂n = i k β p; on outer boundaries, absorbing or radiation condition (e.g., Sommerfeld) to approximate outgoing waves. The geometry is complex, requiring a mesh or implicit representation. Missing: exact material properties (c, ρ), frequency, specific boundary types for each wall/obstacle, and incident wave direction/amplitude. These must be provided or assumed for a concrete simulation.</t>
  </si>
  <si>
    <t>关键点: identifies acoustic scattering/Helmholtz-type wave problem; states total or scattered pressure field; recognizes maze-like obstacles and incident wave setup
变量: x; y; pressure field p(x,y); wave number k; incident field
已知参数: incident wave; material properties; maze geometry; boundary descriptions
未知量: total or scattered acoustic pressure field
域/参数:
评分提醒: Full-credit plans should treat geometry and scattering boundaries as central, not incidental, parts of the modeling workflow.
Facet cap rules: answer gives only a generic PINN workflow without task-specific residuals, constraints, or risks =&gt; max 3. Generic correctness should not receive full credit in a task-specific planning benchmark.</t>
  </si>
  <si>
    <t>The task is to solve the time-harmonic acoustic scattering problem in a 2D bounded maze-like domain containing multiple internal obstacles. The total acoustic pressure field u satisfies the Helmholtz equation ∇²u + k²u = 0 (or a variable-coefficient form if material heterogeneity exists), where k is the wavenumber. The field is decomposed as u = u_inc + u_sc, with u_inc the known incident wave and u_sc the unknown scattered field. The domain geometry is complex and multiply connected. Because exact geometric coordinates of walls and obstacles, the wavenumber/frequency, the specific wall boundary condition type (Dirichlet, Neumann, or impedance), and the outer truncation boundary treatment are not specified, the workflow must treat geometry parametrically (e.g., via signed-distance functions) and keep boundary losses modular.</t>
  </si>
  <si>
    <t>The objective is to solve for the acoustic pressure field $u(x, y, t)$ or $u(x, y)$ in a 2D domain $\Omega$ containing a complex maze geometry $\Gamma_{maze}$. The system is governed by the acoustic wave equation or Helmholtz equation, depending on whether the incident wave is transient or time-harmonic. The domain includes internal obstacles where boundary conditions must be enforced. Missing specifications include the exact mathematical representation of the maze geometry (e.g., CAD files, level sets, or implicit functions), the specific impedance values of the maze walls (assumed rigid if not provided), and the definition of the far-field boundary condition (requires PML or absorbing layers). The workflow must ingest the incident wave definition and spatially varying material properties (density $
ho$, speed of sound $c$).</t>
  </si>
  <si>
    <t>The Helmholtz equation must be satisfied in the domain. Boundary conditions: Neumann on rigid walls, Dirichlet on sound-soft obstacles, impedance on absorbing surfaces, and an absorbing boundary condition (e.g., first-order or perfectly matched layer) on the outer boundary to minimize reflections. The scattered field p_s = p - p_inc must satisfy the Sommerfeld radiation condition at infinity. Energy conservation and causality are implicit. The wavenumber k must be real for lossless media; if damping is present, k becomes complex. The geometry must be represented accurately to capture multiple scattering.</t>
  </si>
  <si>
    <t>关键点: includes acoustic PDE residual; handles wall/obstacle boundaries; handles outer radiation/absorbing/impedance boundary conditions; uses incident/scattered-field consistency if relevant; enforces radiation condition or absorbing boundary condition; applies boundary conditions on each obstacle
Canonical PDE: Frequency-domain acoustic scattering can be formulated as Helmholtz-type equations for total or scattered pressure in a maze-like domain
约束: geometry: maze-like domain with internal obstacles and wall boundaries | boundary_conditions: wall or sound-hard boundaries; outer radiation, absorbing, or impedance boundary conditions | scattering: incident and scattered field decomposition may be needed
参考条件: 
评分提醒: Full-credit plans should treat geometry and scattering boundaries as central, not incidental, parts of the modeling workflow.
Facet cap rules: answer gives only a generic PINN workflow without task-specific residuals, constraints, or risks =&gt; max 3. Generic correctness should not receive full credit in a task-specific planning benchmark.; ignores internal obstacles or maze geometry =&gt; max 2. Geometry and boundaries define the scattering task.; omits radiation/absorbing/scattering-specific boundary handling =&gt; max 3. Scattering validation is not captured by generic MSE.</t>
  </si>
  <si>
    <t>Governing PDE: Helmholtz equation (or transient wave equation if time-domain data are provided). Boundary conditions: On internal walls, either homogeneous Dirichlet (sound-soft), Neumann (sound-hard), or Robin (impedance) must be enforced; the specific type is unspecified and must be supplied or inferred. On the outer boundary, an absorbing condition such as the Sommerfeld radiation condition or a Perfectly Matched Layer (PML) is required; the truncation distance and PML profile are unspecified. Interface conditions: Continuity of pressure and normal particle velocity across any material interfaces if the domain is heterogeneous. Missing information includes exact obstacle coordinates, wavenumber k, wall absorption coefficients, and outer boundary location. These omissions prevent a definitive residual formulation, so the workflow should use a parameterized geometry encoder and placeholder loss terms that are instantiated once the missing data are provided.</t>
  </si>
  <si>
    <t>The model must satisfy the governing PDE: $
abla \cdot ( rac{1}{
ho} 
abla u) -  rac{1}{
ho c^2} \partial_{tt} u = 0$ (time-domain) or $
abla^2 u + k^2 u = 0$ (frequency-domain). Boundary conditions include: 1) Incident wave source condition (Dirichlet/Neumann on a boundary or source term). 2) Wall conditions on $\Gamma_{maze}$: typically Neumann ($\partial_n u = 0$ for rigid walls) or Robin for impedance. 3) Outer boundary conditions: Perfectly Matched Layers (PML) or Sommerfeld radiation condition to prevent artificial reflections. The solution must respect continuity of pressure and normal particle velocity across material interfaces.</t>
  </si>
  <si>
    <t>A physics-informed neural network (PINN) is chosen because it can handle complex geometries without a mesh, incorporate boundary conditions directly, and be trained on scattered field data if available. The network outputs the total or scattered pressure. The loss function includes: (1) Helmholtz residual (∇²p + k²p)² sampled in the domain, (2) boundary condition residuals on walls and obstacles, (3) absorbing boundary condition residual on the outer boundary, (4) data loss if measurements exist. For high wavenumbers, a Fourier feature embedding or multi-scale architecture (e.g., SIREN) is recommended to capture oscillations. Alternatively, a hybrid method (e.g., PINN with a finite element pre-solve) could be used for stability.</t>
  </si>
  <si>
    <t>关键点: chooses geometry-aware, domain-decomposed, Fourier/SIREN, or hybrid numerical-neural method; does not assume a simple rectangular domain; uses level-set or implicit geometry representation; employs domain decomposition for multiple obstacles
可接受模型: geometry-aware PINN; domain-decomposition PINN; hybrid numerical-neural scattering solver; Fourier-feature or SIREN PINN for oscillatory fields; mesh or mask-aware neural field; level-set PINN
评分提醒: Full-credit plans should treat geometry and scattering boundaries as central, not incidental, parts of the modeling workflow.
Facet cap rules: answer gives only a generic PINN workflow without task-specific residuals, constraints, or risks =&gt; max 3. Generic correctness should not receive full credit in a task-specific planning benchmark.</t>
  </si>
  <si>
    <t>Adopt a Physics-Informed Neural Network (PINN) with multi-scale Fourier feature embeddings and an implicit geometry representation (signed-distance function or level set). The Helmholtz operator is elliptic but highly oscillatory, causing standard MLPs to suffer from spectral bias; Fourier features shift the network’s effective bandwidth to better resolve scattered waves. The implicit geometry encoder handles complex maze boundaries without conforming meshes. If sparse scattered-field observations or legacy simulation data are available, augment with a DeepONet or Fourier Neural Operator (FNO) as a warm-start surrogate or corrective term; otherwise use a pure PINN. Predict real and imaginary parts via separate output branches (or a complex-valued network) to improve stability.</t>
  </si>
  <si>
    <t>A SIREN (Sinusoidal Representation Networks) or Fourier Feature Neural Network is selected as the surrogate model. These architectures are chosen because acoustic scattering in mazes involves high-frequency spatial variations and interference patterns that standard ReLU MLPs fail to capture due to spectral bias. The network will take coordinates $(x, y)$ (and time $t$ if transient) as input and output the pressure field $u$. To handle the complex maze geometry without meshing, the Signed Distance Function (SDF) of the maze will be used as an additional input feature or to strictly mask boundary loss enforcement, allowing the network to learn discontinuities or sharp gradients at walls.</t>
  </si>
  <si>
    <t>Use adaptive sampling: initially uniform, then refine near boundaries and obstacles using residual-based or gradient-based sampling. Train with Adam optimizer, then L-BFGS for fine-tuning. Loss weights should balance PDE, BC, and data terms; may be tuned via gradient statistics or NTK. For high-frequency problems, use curriculum learning on k or domain decomposition. Employ a Fourier feature mapping (e.g., random Fourier features) to help the network learn high-frequency modes. Monitor loss convergence and residual norms. If data is available, split into training and validation sets.</t>
  </si>
  <si>
    <t>关键点: uses mask/SDF/mesh or boundary point representation; samples near obstacles, corners, and corridors; handles radiation boundaries and subdomain interfaces
期望 loss: acoustic PDE residual loss; wall or obstacle boundary loss; radiation or absorbing boundary loss; incident/scattered field consistency loss; subdomain interface loss if domain decomposition is used; radiation boundary loss; obstacle boundary condition loss
期望训练策略: represent complex geometry with masks, signed-distance functions, mesh sampling, or boundary point sets; sample densely near obstacles and corners; handle radiation or absorbing boundary conditions; consider domain decomposition for maze corridors; avoid assuming a simple rectangular domain; use geometry-aware networks or level-set methods to handle maze-like domain; apply absorbing/radiation boundary conditions; sample collocation points densely near obstacles and walls
评分提醒: Full-credit plans should treat geometry and scattering boundaries as central, not incidental, parts of the modeling workflow.
Facet cap rules: answer gives only a generic PINN workflow without task-specific residuals, constraints, or risks =&gt; max 3. Generic correctness should not receive full credit in a task-specific planning benchmark.; ignores internal obstacles or maze geometry =&gt; max 2. Geometry and boundaries define the scattering task.</t>
  </si>
  <si>
    <t>Loss composition: L_total = λ_pde L_pde + λ_bc L_bc + λ_rad L_rad + λ_geom L_geom. L_pde penalizes the Helmholtz residual in the fluid domain; L_bc enforces wall boundary conditions via SDF-based surface and near-surface sampling; L_rad enforces the Sommerfeld radiation condition or PML equations on the outer boundary; L_geom regularizes the geometry embedding. Sampling: Use quasi-random (Sobol) sequences in the bulk and adaptive importance sampling that refines near obstacle edges, corners, and high-residual regions. Optimization: Begin with Adam on a low-wavenumber or coarse-geometry curriculum, then progressively increase frequency and geometric complexity to avoid local minima associated with oscillatory modes. Follow with L-BFGS to tighten PDE residuals. For high wavenumbers, consider a phase-amplitude decomposition (u_sc = A e^{iφ}) or causal time-domain marching if transient. Validation metrics: Relative L² error on held-out test geometries, PDE residual distribution, conservation of acoustic energy flux through control surfaces, and far-field pattern consistency.</t>
  </si>
  <si>
    <t>The loss function is $\mathcal{L} = \mathcal{L}_{PDE} + \lambda_{bc} \mathcal{L}_{BC} + \lambda_{data} \mathcal{L}_{data}$. $\mathcal{L}_{PDE}$ enforces the wave equation on collocation points sampled inside the fluid domain. $\mathcal{L}_{BC}$ enforces wall and incident wave conditions. Sampling strategy is critical: use importance sampling near maze walls and corners (high gradient regions) and random sampling in the open void. A curriculum learning approach will be used, initially training with a lower frequency incident wave to establish the field topology, then fine-tuning with the target high frequency. Weights $\lambda$ will be adaptive based on the magnitude of different loss terms to balance convergence. Optimization will use Adam with L-BFGS refinement.</t>
  </si>
  <si>
    <t>1. High wavenumber leads to spectral bias and failure to capture oscillations; mitigate with Fourier features or multi-scale networks. 2. Complex geometry causes boundary condition misrepresentation; use signed distance functions or adaptive collocation near boundaries. 3. Multiple scattering creates standing waves and sharp gradients; increase sampling density and use residual-based refinement. 4. Absorbing boundary condition may cause spurious reflections; validate with a reference solution (e.g., finite element) or use a larger domain. 5. Training may get stuck in local minima; use multiple random seeds and early stopping. 6. Overfitting to sparse data; use regularization and cross-validation.</t>
  </si>
  <si>
    <t>关键点: checks scattering pattern/far-field error; checks obstacle and outer-boundary errors; checks residual in fluid domain; checks energy flux/reflection consistency
期望验证: scattering pattern or far-field error; boundary-condition error on obstacles and outer boundaries; PDE residual in accessible fluid domain; energy flux or reflection/transmission checks; comparison with finite-element or boundary-element reference
Failure traps: ignores internal obstacles; uses only rectangular-domain collocation; omits scattering or radiation boundary handling; reports only pointwise MSE; does not address geometry sampling; ignores radiation condition or far-field boundary; fails to enforce boundary conditions on internal obstacles
评分提醒: Full-credit plans should treat geometry and scattering boundaries as central, not incidental, parts of the modeling workflow.
Facet cap rules: answer gives only a generic PINN workflow without task-specific residuals, constraints, or risks =&gt; max 3. Generic correctness should not receive full credit in a task-specific planning benchmark.; ignores internal obstacles or maze geometry =&gt; max 2. Geometry and boundaries define the scattering task.; omits radiation/absorbing/scattering-specific boundary handling =&gt; max 3. Scattering validation is not captured by generic MSE.</t>
  </si>
  <si>
    <t>Key risks: (1) Spectral bias leading to under-resolution of short scattered wavelengths and shadow-region artifacts. (2) Geometric aliasing if the SDF inadequately resolves thin walls or sharp corners, causing boundary-condition leakage. (3) Ill-posedness due to missing boundary condition types or wavenumber values, which can yield non-unique solutions. (4) Spurious reflections from an improperly tuned PML or truncated Sommerfeld boundary, contaminating the scattered field. (5) Resonance frequencies that flatten the PINN loss landscape and cause optimization stagnation. (6) Residual-minimization deception, where small PDE residuals coexist with incorrect wave modes; this is especially likely without observation data. Mitigation requires explicit geometric verification, sensitivity analysis to missing parameters, and cross-validation against integral representations (e.g., Kirchhoff-Helmholtz integral) or sparse sensor measurements.</t>
  </si>
  <si>
    <t>1) Spectral Bias: The model may smooth out sharp interference fringes or high-order reflections in deep maze corridors. 2) Geometry Leakage: Soft enforcement of wall boundary conditions might allow waves to 'tunnel' through maze walls if the SDF approximation is poor or sampling near walls is insufficient. 3) PML Instability: Implementing absorbing boundary conditions via PINN loss can be unstable, causing reflections that corrupt the scattering solution. 4) Corner Singularities: Diffraction at sharp 90-degree maze corners may cause convergence issues or local inaccuracies. 5) Multi-path Complexity: The accumulation of errors over multiple scattering events (bounces) could lead to significant deviation in the far-field.</t>
  </si>
  <si>
    <t>hard_plus_rayleigh_benard_024</t>
  </si>
  <si>
    <t>thermal_fluid_dynamics</t>
  </si>
  <si>
    <t>coupled_multiphysics_modeling</t>
  </si>
  <si>
    <t>Rayleigh-Benard convection under Boussinesq approximation</t>
  </si>
  <si>
    <t>A fluid dynamics group wants to model Rayleigh-Benard convection in a two-dimensional cell heated from below and cooled from above. The workflow must couple velocity, pressure, and temperature fields, respect incompressibility, and capture boundary-layer-driven heat transport. Design a physics-informed modeling workflow and validation plan.</t>
  </si>
  <si>
    <t>We consider a 2D rectangular domain with no-slip, impermeable walls at top and bottom, and periodic or no-slip sidewalls (not specified). The bottom wall is at constant high temperature T_hot, top wall at constant low temperature T_cold. The fluid is incompressible and obeys the Boussinesq approximation: density variations only in buoyancy term. The governing equations are the incompressible Navier-Stokes equations coupled with an advection-diffusion equation for temperature. Unknowns: velocity field u=(u,v), pressure p, temperature T. The Rayleigh number Ra and Prandtl number Pr are not specified; they control flow regime (steady rolls, time-dependent, turbulent). Initial conditions are not specified; typical choices are quiescent fluid with linear temperature profile plus small perturbations. The goal is to model the coupled fields and capture boundary-layer-driven heat transport (Nusselt number Nu).</t>
  </si>
  <si>
    <t>关键点: identifies Boussinesq Rayleigh-Benard convection; states velocity, pressure, and temperature fields; recognizes coupled thermal-fluid dynamics
变量: x; y; t; velocity u,v; pressure p; temperature T
已知参数: Rayleigh number Ra; Prandtl number Pr; thermal boundary conditions; velocity boundary conditions
未知量: velocity field; pressure field; temperature field
域/参数:
评分提醒: Strong answers should propose validation metrics such as Nusselt number and divergence error, not only field MSE.
Facet cap rules: answer gives only a generic PINN workflow without task-specific residuals, constraints, or risks =&gt; max 3. Generic correctness should not receive full credit in a task-specific planning benchmark.; omits temperature-velocity coupling or buoyancy =&gt; max 2. Coupled multiphysics is the task focus.</t>
  </si>
  <si>
    <t>Model 2D Rayleigh-Benard convection using the incompressible Boussinesq equations coupling velocity u=(u,v), pressure p, and temperature T in a rectangular cell. The governing system is continuity ∇·u=0, momentum ∂_t u + (u·∇)u = -∇p + Pr∇²u + Pr Ra T e_y, and energy ∂_t T + (u·∇)T = ∇²T in non-dimensional form. Missing specifications that critically affect the workflow are: (1) domain aspect ratio; (2) side-wall boundary conditions (periodic, no-slip insulated, or symmetric); (3) top/bottom velocity conditions (no-slip vs free-slip); (4) initial condition (e.g., conduction state plus perturbation); and (5) Rayleigh (Ra) and Prandtl (Pr) numbers. These determine whether the solution is steady laminar rolls, unsteady, or turbulent, and set the required spatial resolution and temporal horizon.</t>
  </si>
  <si>
    <t>The objective is to solve the transient 2D incompressible Navier-Stokes equations coupled with the heat equation under the Boussinesq approximation within a rectangular domain $\Omega = [0, L_x] 	imes [0, L_y]$. The state variables are velocity $\mathbf{u}(x,y,t) = (u, v)$, pressure $p(x,y,t)$, and temperature $T(x,y,t)$. The governing equations are: 1) Continuity: $
abla \cdot \mathbf{u} = 0$; 2) Momentum: $ rac{\partial \mathbf{u}}{\partial t} + (\mathbf{u} \cdot 
abla)\mathbf{u} = -
abla p + 	ext{Pr} 
abla^2 \mathbf{u} + 	ext{Ra} \cdot 	ext{Pr} \cdot T \mathbf{e}_y$; 3) Energy: $ rac{\partial T}{\partial t} + (\mathbf{u} \cdot 
abla)T = 
abla^2 T$. Note: The Rayleigh number ($	ext{Ra}$), Prandtl number ($	ext{Pr}$), domain aspect ratio, and specific lateral boundary conditions (e.g., periodic vs. no-slip) are not specified. The workflow will treat $	ext{Ra}$ and $	ext{Pr}$ as required inputs and assume standard no-slip/isothermal top/bottom and periodic side walls for the baseline plan.</t>
  </si>
  <si>
    <t>Incompressibility: ∇·u = 0. Momentum: ∂u/∂t + (u·∇)u = -∇p + Pr ∇²u + Ra Pr T e_y (with e_y upward). Energy: ∂T/∂t + (u·∇)T = ∇²T. Boundary conditions: u=0 on all walls (no-slip), T=T_hot at bottom, T=T_cold at top. Sidewall conditions not specified; if periodic, enforce periodicity; if no-slip, specify T gradient or insulation. Initial conditions missing: must assume quiescent fluid with linear T profile plus small random perturbation to break symmetry. The Boussinesq approximation is valid only for small temperature differences; this is assumed. The domain aspect ratio is not specified; it affects pattern formation and must be chosen (e.g., 2:1).</t>
  </si>
  <si>
    <t>关键点: includes momentum with buoyancy; includes incompressibility; includes temperature advection-diffusion; includes thermal and velocity boundary conditions; enforces coupling between velocity, pressure, and temperature fields; includes divergence-free condition for velocity
Canonical PDE: Boussinesq equations coupling incompressible Navier-Stokes with temperature advection-diffusion and buoyancy forcing
约束: physics: momentum balance with buoyancy; incompressibility div(u)=0; temperature transport | boundary_conditions: heated bottom; cooled top; velocity no-slip or specified wall condition | dimensionless_groups: Rayleigh number; Prandtl number
参考条件: 
评分提醒: Strong answers should propose validation metrics such as Nusselt number and divergence error, not only field MSE.
Facet cap rules: answer gives only a generic PINN workflow without task-specific residuals, constraints, or risks =&gt; max 3. Generic correctness should not receive full credit in a task-specific planning benchmark.; omits temperature-velocity coupling or buoyancy =&gt; max 2. Coupled multiphysics is the task focus.; omits incompressibility or pressure =&gt; max 3. The Boussinesq flow remains incompressible.</t>
  </si>
  <si>
    <t>Enforce incompressibility via a divergence-free condition either strongly through a streamfunction formulation or weakly through a penalty term; because pressure is required, use primitive variables with a pressure Poisson equation auxiliary constraint to stabilize coupling. The Boussinesq approximation limits density variation to the buoyancy term. Boundary-layer-driven heat transport demands accurate thermal gradients at the top and bottom walls and consistency with the Nusselt number scaling. Global mass and energy conservation must be satisfied, and the choice of side-wall conditions (unspecified) dictates allowable symmetries and roll wavenumbers. Non-dimensionalization is necessary to balance loss scales, but requires Ra and Pr which are not given.</t>
  </si>
  <si>
    <t>The model must strictly enforce incompressibility ($
abla \cdot \mathbf{u} = 0$). Thermal boundary conditions require fixed temperatures at horizontal plates ($T(x, 0)=1, T(x, H)=0$) and no-slip velocity ($\mathbf{u}=0$). For the vertical walls, adiabatic ($\partial T/\partial x = 0$) and periodic/no-slip conditions must be selected based on the missing geometry info. The Boussinesq approximation implies density variations are negligible except in the gravity term. Conservation of kinetic energy and thermal energy must be respected implicitly by the PDE residual minimization.</t>
  </si>
  <si>
    <t>A physics-informed neural network (PINN) is appropriate because it can directly incorporate the PDE residuals, boundary conditions, and incompressibility as soft constraints. The model outputs (u,v,p,T) as functions of (x,y,t). A fully connected neural network with residual connections (e.g., modified MLP) is chosen to handle the multi-scale nature of boundary layers. Hard constraints: incompressibility can be enforced via a streamfunction formulation (u = ∂ψ/∂y, v = -∂ψ/∂x) to exactly satisfy ∇·u=0, reducing outputs to ψ, p, T. This avoids a separate divergence loss. The network must be deep enough (e.g., 8-10 layers, 128 neurons) to capture sharp gradients near walls. Activation: tanh for smooth derivatives. The model is trained on collocation points sampled adaptively near boundaries and in the bulk.</t>
  </si>
  <si>
    <t>关键点: chooses coupled velocity-pressure-temperature PINN, streamfunction formulation, divergence-free architecture, domain decomposition, or neural operator if parameter sweep; uses multi-output network or coupled networks predicting u,v,p,T; incorporates divergence-free layers or penalty
可接受模型: coupled velocity-pressure-temperature PINN; streamfunction-pressure-temperature PINN; divergence-free architecture with temperature head; domain-decomposition PINN for boundary layers; neural operator if sweeping Ra or Pr; divergence-free PINN; multi-output PINN
评分提醒: Strong answers should propose validation metrics such as Nusselt number and divergence error, not only field MSE.
Facet cap rules: answer gives only a generic PINN workflow without task-specific residuals, constraints, or risks =&gt; max 3. Generic correctness should not receive full credit in a task-specific planning benchmark.; omits incompressibility or pressure =&gt; max 3. The Boussinesq flow remains incompressible.</t>
  </si>
  <si>
    <t>Select a primitive-variable Physics-Informed Neural Network (PINN) with Fourier feature embeddings or sinusoidal activations to mitigate spectral bias when representing thin thermal boundary layers and convective roll structures. Justification: primitive variables directly couple u, v, p, and T as requested; Fourier features improve high-wavenumber mode representation. Augment the standard momentum and continuity residuals with a pressure Poisson equation residual to avoid checkerboard-like pressure-velocity decoupling and enforce incompressibility more strongly. Use a modified MLP with skip connections to aid gradient flow for the coupled nonlinear system. If Ra is high, consider a time-dependent architecture with causal training to handle unsteadiness.</t>
  </si>
  <si>
    <t>A Physics-Informed Neural Network (PINN) with a shared trunk architecture is selected. The network takes spatiotemporal coordinates $(x, y, t)$ as input and outputs $(u, v, p, T)$. A shared trunk allows the model to learn coupled features, while separate output heads handle different field scales. To capture the high-frequency gradients in boundary layers typical of Rayleigh-Benard convection, Sinusoidal Representation Networks (SIREN) or Fourier Feature embeddings are preferred over standard MLPs with Tanh activations. This architecture effectively handles the system of non-linear PDEs without requiring a mesh.</t>
  </si>
  <si>
    <t>Loss function: L = λ_res * L_res + λ_bc * L_bc + λ_ic * L_ic + λ_data * L_data (if any). L_res includes residuals of momentum (x,y), energy, and continuity (if not hard-constrained). L_bc enforces no-slip and fixed temperatures. L_ic enforces initial condition (quiescent, linear T). No experimental data specified; if available, L_data matches observations. Sampling: use Latin hypercube or adaptive sampling with higher density near walls (boundary layers) and in regions of high gradient. Optimizer: Adam first, then L-BFGS for fine-tuning. Learning rate scheduling (e.g., cosine decay). Gradient clipping to avoid instability. Use curriculum learning: start with low Ra, then increase. For high Ra, consider domain decomposition or separate networks for boundary layers. Validation metrics: Nusselt number Nu (average heat flux at walls), compare to empirical correlations (e.g., Nu ~ Ra^0.3 for 2D rolls). Monitor residuals and solution smoothness.</t>
  </si>
  <si>
    <t>关键点: nondimensionalizes with Ra/Pr; samples near thermal and velocity boundary layers; balances momentum, continuity, temperature, and BC losses
期望 loss: momentum residual loss; incompressibility residual loss; temperature transport residual loss; thermal boundary loss; velocity boundary loss; data loss if observations are provided; continuity residual loss; energy/temperature residual loss; boundary condition losses for velocity and temperature; coupling residual loss
期望训练策略: couple velocity, pressure, and temperature outputs; enforce divergence-free constraint; sample densely near thermal and velocity boundary layers; nondimensionalize using Ra and Pr; consider neural operators for parameter-family learning; train a network predicting velocity, pressure, and temperature simultaneously; include divergence-free penalty and Nusselt number monitoring
评分提醒: Strong answers should propose validation metrics such as Nusselt number and divergence error, not only field MSE.
Facet cap rules: answer gives only a generic PINN workflow without task-specific residuals, constraints, or risks =&gt; max 3. Generic correctness should not receive full credit in a task-specific planning benchmark.</t>
  </si>
  <si>
    <t>Use residual-based adaptive refinement (RAR): start with Sobol collocation points and iteratively densify sampling in high-residual regions, especially near horizontal walls and thermal plumes. Define a composite loss combining momentum, continuity, energy, pressure Poisson, boundary condition, and initial condition residuals, with adaptive weighting (e.g., NTK or GradNorm) to handle scale disparities between velocity and temperature. Train in stages: first fit boundary and initial data at low Ra or the pure conduction state, then apply continuation by gradually increasing Ra to the target value to avoid convergence to the trivial conduction solution. Optimize with Adam and learning rate decay, followed by L-BFGS fine-tuning. For transient problems, enforce temporal causality via time-marching or causal weights to prevent non-physical future-state leakage.</t>
  </si>
  <si>
    <t>The loss function is $L = \lambda_{mom}L_{mom} + \lambda_{cont}L_{cont} + \lambda_{eng}L_{eng} + \lambda_{bc}L_{bc} + \lambda_{ic}L_{ic}$. $L_{mom}, L_{cont}, L_{eng}$ are MSEs of PDE residuals; $L_{bc}, L_{ic}$ enforce boundary and initial conditions. Sampling strategy utilizes Quasi-Monte Carlo (Sobol) sequences. Crucially, adaptive sampling or increased point density near $y=0$ and $y=H$ is required to resolve thermal boundary layers. Optimization uses a two-stage approach: Adam for initial convergence to a feasible solution, followed by L-BFGS for high-precision minimization of residuals. Dynamic loss weighting (e.g., GradNorm) is recommended to balance the dominance of momentum residuals over continuity.</t>
  </si>
  <si>
    <t>1. Boundary layer resolution: PINNs may fail to capture sharp thermal and velocity gradients near walls, leading to inaccurate Nu. Mitigation: adaptive sampling, gradient-enhanced loss, or separate boundary layer networks. 2. High Ra instability: chaotic or turbulent flows require very long time integration; PINNs may not converge. Mitigation: use time-parallel training or reduce to steady-state assumption if Ra below critical. 3. Missing sidewall conditions: if unspecified, results may be non-unique; must assume periodic or insulated and state assumption. 4. Initial condition sensitivity: small perturbations affect pattern selection; multiple runs with different seeds needed. 5. Optimization failure: multi-objective loss may get stuck in local minima. Mitigation: use pretraining on simpler PDEs, or use physics-informed neural networks with adaptive loss balancing (e.g., NTK-based). 6. Overfitting to collocation points: use sufficient points and regularization (e.g., weight decay). 7. Computational cost: high-dimensional parameter space (Ra, Pr, aspect ratio) may require many training runs; consider surrogate modeling or transfer learning.</t>
  </si>
  <si>
    <t>关键点: checks Nusselt number/heat flux; checks divergence error; checks residuals and boundary layers; checks flow-pattern or kinetic-energy consistency
期望验证: Nusselt number or heat flux error; divergence error; momentum and temperature residuals; boundary-layer profile checks; kinetic energy or flow pattern comparison; not only temperature MSE
Failure traps: omits temperature-velocity coupling; omits incompressibility; does not mention pressure; ignores boundary layers; reports only MSE without heat-transfer metrics; ignores coupling or divergence-free constraints; predicts only temperature without fluid coupling
评分提醒: Strong answers should propose validation metrics such as Nusselt number and divergence error, not only field MSE.
Facet cap rules: answer gives only a generic PINN workflow without task-specific residuals, constraints, or risks =&gt; max 3. Generic correctness should not receive full credit in a task-specific planning benchmark.; reports only field MSE without heat-transfer metrics =&gt; max 3. Nusselt/heat-flux validation is expected.</t>
  </si>
  <si>
    <t>Key risks include: (1) unspecified Ra and Pr prevent determining whether the flow is laminar, unsteady, or turbulent; a steady PINN will fail if the true state is chaotic. (2) High-Ra flows produce thin thermal boundary layers that may be under-resolved by collocation points, causing spectral bias and underprediction of the Nusselt number. (3) Weak divergence enforcement can produce mass conservation errors that corrupt temperature advection. (4) Unspecified side-wall and top/bottom velocity conditions make validation against reference data impossible; incorrect assumptions change permissible roll patterns. (5) The PINN may converge to the stable conduction state or an incorrect roll mode due to symmetry; continuation and multiple random initializations are required. (6) Long-time transient integration risks causality violation and drift in integral quantities. Validation metrics must include the Nusselt number, mid-height temperature profile, kinetic energy, and comparison against DNS or scaling laws (e.g., Nu ~ Ra^{1/3}) once parameters are specified.</t>
  </si>
  <si>
    <t>1. Boundary Layer Resolution: At high Ra, thermal/velocity boundary layers become extremely thin; fixed collocation points may miss them, leading to inaccurate heat transport (Nusselt number) predictions. 2. Pressure Drift: The pressure field is defined only up to a constant in incompressible flow; without a Dirichlet constraint on $p$ at one point, the network may diverge. 3. Trivial Solution: The optimizer may converge to the conductive (zero-velocity) solution if initial perturbations are insufficient or the loss landscape is flat. 4. Parameter Sensitivity: Since Ra and Pr are missing, incorrect assumptions will lead to physically invalid flow regimes (e.g., laminar vs. turbulent). Validation metrics must include the Nusselt number ($Nu$) and global kinetic energy to verify non-trivial convection.</t>
  </si>
  <si>
    <t>hard_plus_euler_shock_023</t>
  </si>
  <si>
    <t>compressible_flow</t>
  </si>
  <si>
    <t>discontinuous_solution_modeling</t>
  </si>
  <si>
    <t>Compressible Euler equations with shocks</t>
  </si>
  <si>
    <t>A researcher wants to model a compressible inviscid flow initialized from piecewise states. Sharp fronts and contact-like structures may form, so the solution is not expected to remain smooth. Design a physics-informed modeling workflow for the density, momentum or velocity, and energy fields, including how the workflow should be trained and validated.</t>
  </si>
  <si>
    <t>The problem is to model a compressible inviscid flow governed by the Euler equations, with initial conditions consisting of piecewise constant states (e.g., a Riemann problem). The flow may develop sharp fronts (shock waves) and contact discontinuities. The fields of interest are density, momentum (or velocity), and energy. The domain, boundary conditions, and specific initial states are not specified; these must be defined to fully specify the problem. The workflow must handle discontinuities and non-smooth solutions.</t>
  </si>
  <si>
    <t>关键点: identifies compressible Euler equations as conservation laws; states density, momentum or velocity, pressure, and total energy fields as relevant unknowns; recognizes piecewise initial states can lead to shocks/contact discontinuities and weak-solution behavior
变量: density rho; velocity components; pressure p; total energy E; space; time
已知参数: equation of state; piecewise initial states; boundary conditions if provided
未知量: rho; velocity; pressure or energy fields
域/参数:
评分提醒: Public v0.3 intentionally does not name weak-form or finite-volume methods. Full-credit answers should infer that discontinuous Euler solutions require conservative weak-solution planning rather than generic smooth PINN residual fitting.
Facet cap rules: answer gives only a generic PINN workflow without task-specific residuals, constraints, or risks =&gt; max 3. Generic correctness should not receive full credit in a task-specific planning benchmark.; omits conservative variables or conservation form =&gt; max 2. Compressible Euler dynamics are conservation laws even when the public prompt does not name the method.</t>
  </si>
  <si>
    <t>Model the compressible Euler equations for an inviscid fluid initialized from piecewise states, seeking the density, momentum (or velocity), and energy fields. The piecewise data imply Riemann-like structures including shocks, rarefactions, and contact discontinuities, so the solution is weak and not smooth. The conservative system is ∂_t U + ∇·F(U) = 0 with U = (ρ, ρu, E). Missing specifications that must be provided before deployment are: the spatial dimension, the exact initial states and their geometry, boundary conditions, the equation of state (e.g., ideal gas with γ), the physical domain, and the target time horizon.</t>
  </si>
  <si>
    <t>The task involves solving the Euler equations for compressible inviscid flow, which govern the conservation of mass, momentum, and energy. The state variables are density ($\rho$), velocity ($\mathbf{u}$), and total energy ($E$). The system is defined over a spatial domain $\Omega$ and time interval $[0, T]$. The initial condition consists of piecewise constant states (e.g., a Riemann problem). Missing information includes the specific dimensionality (1D, 2D, or 3D), the exact values of the piecewise initial states, the boundary conditions (e.g., periodic, Dirichlet, or Neumann), and the specific heat ratio ($\gamma$) for the equation of state. These parameters must be specified to define the specific shock interaction being modeled.</t>
  </si>
  <si>
    <t>The model must satisfy conservation of mass, momentum, and energy, expressed by the Euler equations: ∂ρ/∂t + ∇·(ρu) = 0, ∂(ρu)/∂t + ∇·(ρu⊗u + pI) = 0, ∂E/∂t + ∇·(u(E+p)) = 0, with an equation of state (e.g., ideal gas: p = (γ-1)(E - 0.5ρ|u|^2)). The solution must also respect the Rankine-Hugoniot jump conditions across shocks and the entropy condition (entropy must not decrease across shocks). These constraints are enforced via physics-informed loss terms.</t>
  </si>
  <si>
    <t>关键点: uses conservative mass, momentum, and energy balances; incorporates piecewise initial states and available boundary data; addresses entropy/admissibility, positivity, or Rankine-Hugoniot consistency; does not enforce a smooth residual through discontinuities as the only physics constraint
Canonical PDE: Compressible Euler conservation laws for density, momentum, and total energy, with shocks or contact discontinuities
约束: conservation_laws: mass conservation; momentum conservation; energy conservation | discontinuities: shocks and contact discontinuities may form | entropy: physically admissible entropy solution should be considered
参考条件: 
评分提醒: Public v0.3 intentionally does not name weak-form or finite-volume methods. Full-credit answers should infer that discontinuous Euler solutions require conservative weak-solution planning rather than generic smooth PINN residual fitting.
Facet cap rules: answer gives only a generic PINN workflow without task-specific residuals, constraints, or risks =&gt; max 3. Generic correctness should not receive full credit in a task-specific planning benchmark.; omits conservative variables or conservation form =&gt; max 2. Compressible Euler dynamics are conservation laws even when the public prompt does not name the method.; omits entropy/admissibility or positivity considerations =&gt; max 3. Shock solutions require physically admissible weak solutions, not just residual minimization.</t>
  </si>
  <si>
    <t>The workflow must enforce: (i) conservation of mass, momentum, and energy in divergence form; (ii) Rankine-Hugoniot jump conditions across shocks; (iii) an entropy inequality to select admissible weak solutions and exclude expansion shocks; (iv) strict positivity of density and pressure (or internal energy); and (v) a constitutive closure relating pressure to the conserved variables. Because the equation of state, exact initial conditions, boundary conditions, and dimensionality are unspecified, the constraints cannot be fully instantiated and the solution family remains underdetermined.</t>
  </si>
  <si>
    <t>The model must satisfy the Euler equations: $\partial_t \rho + \nabla \cdot (\rho \mathbf{u}) = 0$, $\partial_t (\rho \mathbf{u}) + \nabla \cdot (\rho \mathbf{u} \otimes \mathbf{u} + p \mathbf{I}) = 0$, and $\partial_t E + \nabla \cdot ((E + p)\mathbf{u}) = 0$. The pressure $p$ is determined by the ideal gas law $p = (\gamma - 1)(E - \frac{1}{2}\rho |\mathbf{u}|^2)$. Crucially, for discontinuous solutions, an entropy condition ($\partial_t S + \mathbf{u} \cdot \nabla S \ge 0$) must be enforced to select the physically correct weak solution (shocks) and reject non-physical expansion shocks. Additionally, physical constraints require $\rho &gt; 0$ and $p &gt; 0$.</t>
  </si>
  <si>
    <t>A physics-informed neural network (PINN) with adaptive activation functions and a multi-network architecture (separate networks for each conserved variable) is chosen. To handle sharp fronts, a domain decomposition approach (e.g., XPINN or cPINN) or a neural network with adaptive collocation point sampling (e.g., using a residual-based adaptive refinement method) is recommended. Alternatively, a conservative PINN (cPINN) that enforces flux conservation across subdomains can be used. The model must be able to represent discontinuities; using a hyperbolic tangent activation or a Fourier feature embedding can help capture high-frequency features. The choice is justified by the need to handle non-smooth solutions and the flexibility of PINNs to incorporate PDE residuals and jump conditions.</t>
  </si>
  <si>
    <t>关键点: chooses weak-form, conservative, shock-capturing, domain-decomposed, or finite-volume-hybrid physics-informed model; represents conservative variables or maps primitive outputs to conservative diagnostics; does not rely only on a smooth coordinate MLP with pointwise AD residuals
可接受模型: weak-form PINN; conservative-form PINN; finite-volume/PINN hybrid; shock-capturing neural solver; domain-decomposition model with discontinuity-aware interfaces; neural finite-volume or Godunov-based PINN
评分提醒: Public v0.3 intentionally does not name weak-form or finite-volume methods. Full-credit answers should infer that discontinuous Euler solutions require conservative weak-solution planning rather than generic smooth PINN residual fitting.
Facet cap rules: answer gives only a generic PINN workflow without task-specific residuals, constraints, or risks =&gt; max 3. Generic correctness should not receive full credit in a task-specific planning benchmark.; uses standard smooth PINN without weak, integral, conservative, or shock-aware treatment =&gt; max 2. Smooth pointwise residual fitting is unreliable for discontinuous Euler solutions.</t>
  </si>
  <si>
    <t>Avoid standard fully-connected PINNs because their spectral bias cannot represent discontinuities and produces Gibbs oscillations. Instead, use a domain-decomposed weak-form approach: partition space-time into smooth subdomains separated by shocks/contacts, assign separate networks to each smooth region, and enforce interfaces via soft-penalty Rankine-Hugoniot conditions (and pressure/velocity continuity for contacts). In smooth regions, use modified MLPs or Fourier-feature networks. If discontinuity locations are unknown a priori, augment with a trainable level-set or front network to infer interfaces dynamically. This design isolates non-smoothness and leverages weak residuals that are well-defined for discontinuous solutions.</t>
  </si>
  <si>
    <t>A Deep Residual Network (MLP) with Fourier Feature positional encoding is recommended. Standard MLPs suffer from spectral bias, making it difficult to resolve sharp gradients and discontinuities like shocks. Fourier features map the input coordinates to a higher-dimensional space using sinusoidal functions, enabling the network to learn high-frequency details necessary for capturing shock fronts. Alternatively, a SIREN (Sinusoidal Representation Network) architecture could be used for its ability to represent complex derivatives. The network should output the conserved variables ($\rho$, $\rho \mathbf{u}$, $E$) directly to facilitate conservation law enforcement.</t>
  </si>
  <si>
    <t>Training uses a composite loss function: L = L_PDE + L_IC + L_BC + L_jump + L_entropy. L_PDE enforces the Euler equations at collocation points sampled adaptively (e.g., more points near expected discontinuities). L_IC and L_BC enforce initial and boundary conditions (if specified; otherwise, they are omitted or replaced with soft constraints). L_jump enforces Rankine-Hugoniot conditions at detected shock locations (e.g., using a shock sensor based on density gradient). L_entropy enforces the entropy inequality. Optimization uses Adam initially, then L-BFGS for fine-tuning. Learning rate scheduling and gradient clipping are used for stability. Collocation points are resampled every few epochs to focus on high-residual regions. Validation metrics include L2 error on density, momentum, and energy against a reference solution (e.g., exact Riemann solution or high-resolution numerical simulation), and satisfaction of entropy condition.</t>
  </si>
  <si>
    <t>关键点: uses weak/integral/control-volume residuals or local conservation losses; uses adaptive sampling or separate treatment around discontinuities; balances IC, BC, conservation, entropy, and positivity terms; avoids over-smoothing shocks
期望 loss: finite-volume or weak-form conservation residual over local space-time regions; initial condition loss for piecewise states; boundary condition loss when boundary data are available; entropy or admissibility regularization when applicable; positivity penalty or parameterization for density and pressure; Rankine-Hugoniot or shock-speed diagnostic loss if shock locations are represented
期望训练策略: represent conservative variables such as density, momentum, and total energy; avoid applying a smooth strong-form pointwise residual across discontinuities as the only physics loss; use weak, integral, or control-volume residuals with test functions or local conservation balances; adaptively sample or decompose the domain around shocks and contact discontinuities; consider hybrid finite-volume supervision or shock-capturing regularization for discontinuity neighborhoods; stabilize positivity of density and pressure and limit artificial shock smearing
评分提醒: Public v0.3 intentionally does not name weak-form or finite-volume methods. Full-credit answers should infer that discontinuous Euler solutions require conservative weak-solution planning rather than generic smooth PINN residual fitting.
Facet cap rules: answer gives only a generic PINN workflow without task-specific residuals, constraints, or risks =&gt; max 3. Generic correctness should not receive full credit in a task-specific planning benchmark.; uses standard smooth PINN without weak, integral, conservative, or shock-aware treatment =&gt; max 2. Smooth pointwise residual fitting is unreliable for discontinuous Euler solutions.</t>
  </si>
  <si>
    <t>Define a composite loss L = λ_weak L_weak + λ_RH L_RH + λ_ent L_entropy + λ_pos L_positivity. L_weak penalizes the weak residual of the conservative equations using space-time test functions sampled by Monte Carlo or quadrature in each subdomain. L_RH penalizes flux-jump mismatches at interfaces. L_entropy penalizes negative entropy production. L_positivity uses log-barrier or penalty terms to keep density and pressure positive. Employ adaptive residual-based sampling that concentrates points near shocks and contacts. Optimize with Adam for initial exploration, then switch to L-BFGS for refinement, with gradient clipping to avoid blow-up. Use sequential time-windowing or causal weights to respect temporal ordering. If needed, add a small annealed artificial-viscosity regularization to guide training toward the viscous-limit solution before removing it.</t>
  </si>
  <si>
    <t>The loss function should be a weighted sum of the PDE residuals (mass, momentum, energy), initial condition loss, boundary condition loss, and an entropy inequality penalty. To handle the moving shock front, a Residual-based Adaptive Refinement (RAR) strategy is essential: collocation points should be iteratively added where the residual magnitude is highest. Self-adaptive loss weighting (e.g., using the gradient statistics or SoftAdapt) is necessary to balance the different PDE terms, as shock dynamics often cause momentum and energy residuals to dominate mass residuals. The optimization should proceed with Adam for initial training followed by L-BFGS for fine-tuning.</t>
  </si>
  <si>
    <t>Key risks: (1) The model may fail to capture sharp discontinuities due to spectral bias, leading to smeared shocks or oscillations (Gibbs phenomenon). (2) The entropy condition may be violated, allowing unphysical rarefaction shocks. (3) Training may become unstable due to stiff PDE residuals near shocks. (4) The model may overfit to collocation points if sampling is not adaptive. (5) Without specified boundary conditions, the problem is ill-posed; validation against incomplete data may be misleading. Mitigations: use adaptive collocation, entropy loss, conservative formulations, and validate against exact or high-fidelity numerical solutions.</t>
  </si>
  <si>
    <t>关键点: checks shock/contact location and speed; checks global and local conservation; checks Rankine-Hugoniot and entropy/admissibility; checks positivity and residual away from discontinuities
期望验证: shock and contact location error against analytical Riemann or numerical reference; shock speed and Rankine-Hugoniot consistency; global and local conservation error for mass, momentum, and energy; entropy/admissibility and positivity checks; residual away from discontinuities; not only global field MSE
Failure traps: uses a generic smooth PINN without weak, integral, or conservative treatment; uses primitive variables only and never checks conservative variables; omits the energy equation or total-energy consistency; applies strong-form pointwise residual directly across discontinuities; reports only global MSE without shock location or conservation checks; ignores entropy, admissibility, density positivity, or pressure positivity; smooths shocks without discussing shock speed or Rankine-Hugoniot consistency
评分提醒: Public v0.3 intentionally does not name weak-form or finite-volume methods. Full-credit answers should infer that discontinuous Euler solutions require conservative weak-solution planning rather than generic smooth PINN residual fitting.
Facet cap rules: answer gives only a generic PINN workflow without task-specific residuals, constraints, or risks =&gt; max 3. Generic correctness should not receive full credit in a task-specific planning benchmark.; uses standard smooth PINN without weak, integral, conservative, or shock-aware treatment =&gt; max 2. Smooth pointwise residual fitting is unreliable for discontinuous Euler solutions.; omits entropy/admissibility or positivity considerations =&gt; max 3. Shock solutions require physically admissible weak solutions, not just residual minimization.; validation reports only global MSE =&gt; max 3. Shock-aware validation must include conservation, shock location/speed, and admissibility checks.</t>
  </si>
  <si>
    <t>Key risks are: (i) oscillations and conservation errors if shocks are misaligned with subdomain boundaries or under-resolved; (ii) convergence to non-physical weak solutions (e.g., expansion shocks) if entropy constraints are insufficient; (iii) training instability and NaNs from positivity violations; (iv) silent quantitative failure due to missing EoS, exact ICs/BCs, or dimensionality; (v) incorrect shock speed/position if the front-tracking component fails; and (vi) biased weak-form quadrature from insufficient sampling near discontinuities. Validation must check integrated conservation errors, shock speeds against exact Riemann solutions, entropy residual sign, and pointwise positivity, rather than relying solely on smooth L2 metrics.</t>
  </si>
  <si>
    <t>The primary risk is the 'Gibbs phenomenon,' where the continuous neural network approximation produces oscillations around the discontinuity. There is also a significant risk of converging to non-physical weak solutions (such as expansion shocks) if the entropy condition is not strictly enforced or weighted sufficiently. Furthermore, the network may smear the shock over a finite width rather than maintaining a sharp interface, and it may violate positivity constraints (predicting negative density or pressure) near strong gradients without specific architectural or loss modifications.</t>
  </si>
  <si>
    <t>PIM-PlanBench 随机抽样人工评分表 v0.3</t>
  </si>
  <si>
    <t>选中题目</t>
  </si>
  <si>
    <t>Public tasks</t>
  </si>
  <si>
    <t>dataset/tasks_public_v0.3.jsonl</t>
  </si>
  <si>
    <t>Private references</t>
  </si>
  <si>
    <t>dataset/references_private_v0.3.jsonl</t>
  </si>
  <si>
    <t>Prompt setting</t>
  </si>
  <si>
    <t>canonical_v0.3</t>
  </si>
  <si>
    <t>Rubric</t>
  </si>
  <si>
    <t>docs/rubric_v0.3.md</t>
  </si>
  <si>
    <t>Score scale</t>
  </si>
  <si>
    <t>0-5 per facet; 25 points per task</t>
  </si>
  <si>
    <t>Auto score source</t>
  </si>
  <si>
    <t>scores/pilot_v0.3/3ModelOutput_scored.csv</t>
  </si>
  <si>
    <t>Random seed</t>
  </si>
  <si>
    <t>20260525</t>
  </si>
  <si>
    <t>Sampling note</t>
  </si>
  <si>
    <t>Random sample of 6 tasks from tasks_public_v0.3 excluding the previous selected set 001/009/012/017/020/025.</t>
  </si>
  <si>
    <t>Normalized file</t>
  </si>
  <si>
    <t>任务数量</t>
  </si>
  <si>
    <t>runs/pilot_v0.3/normalized/deepseek-ai_DeepSeek-V4-Flash__canonical_v0.3.jsonl</t>
  </si>
  <si>
    <t>0</t>
  </si>
  <si>
    <t>缺失、错误或无法评分</t>
  </si>
  <si>
    <t>runs/pilot_v0.3/normalized/Pro_moonshotai_Kimi-K2.6__canonical_v0.3.jsonl</t>
  </si>
  <si>
    <t>1</t>
  </si>
  <si>
    <t>有少量相关内容但关键缺陷明显</t>
  </si>
  <si>
    <t>runs/pilot_v0.3/normalized/Pro_zai-org_GLM-4.7__canonical_v0.3.jsonl</t>
  </si>
  <si>
    <t>2</t>
  </si>
  <si>
    <t>方向部分正确但遗漏重要要点</t>
  </si>
  <si>
    <t>3</t>
  </si>
  <si>
    <t>基本正确，仍偏通用或不完整</t>
  </si>
  <si>
    <t>4</t>
  </si>
  <si>
    <t>较完整、任务贴合，有少量缺失</t>
  </si>
  <si>
    <t>5</t>
  </si>
  <si>
    <t>完整、准确、任务特异、可执行，并正确处理缺失信息</t>
  </si>
  <si>
    <t>空白</t>
  </si>
  <si>
    <t>尚未人工评分</t>
  </si>
  <si>
    <t>评分行数</t>
  </si>
  <si>
    <t>已评分</t>
  </si>
  <si>
    <t>未评分</t>
  </si>
  <si>
    <t>完成率</t>
  </si>
  <si>
    <t>平均分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</si>
</sst>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charset val="134"/>
    </font>
    <font>
      <b/>
      <sz val="11"/>
      <color rgb="FFFFFFFF"/>
      <name val="Carlito"/>
    </font>
    <font>
      <b/>
      <sz val="15"/>
      <color rgb="FFFFFFFF"/>
      <name val="Carlito"/>
    </font>
    <font>
      <b/>
      <sz val="11"/>
      <name val="Carlito"/>
    </font>
    <font>
      <sz val="11"/>
      <name val="Carlito"/>
    </font>
    <font>
      <sz val="9"/>
      <name val="Carlito"/>
    </font>
  </fonts>
  <fills count="5">
    <fill>
      <patternFill patternType="none"/>
    </fill>
    <fill>
      <patternFill patternType="gray125"/>
    </fill>
    <fill>
      <patternFill patternType="solid">
        <fgColor rgb="FF1F4E79"/>
        <bgColor indexed="64"/>
      </patternFill>
    </fill>
    <fill>
      <patternFill patternType="solid">
        <fgColor rgb="FFD9EAF7"/>
        <bgColor indexed="64"/>
      </patternFill>
    </fill>
    <fill>
      <patternFill patternType="solid">
        <fgColor rgb="FFFFF2CC"/>
        <bgColor indexed="64"/>
      </patternFill>
    </fill>
  </fills>
  <borders count="1">
    <border>
      <left/>
      <right/>
      <top/>
      <bottom/>
      <diagonal/>
    </border>
  </borders>
  <cellStyleXfs count="2">
    <xf numFmtId="0" fontId="0" fillId="0" borderId="0"/>
    <xf numFmtId="0" fontId="4" fillId="0" borderId="0"/>
  </cellStyleXfs>
  <cellXfs count="13">
    <xf numFmtId="0" fontId="0" fillId="0" borderId="0" xfId="0"/>
    <xf numFmtId="0" fontId="1" fillId="2" borderId="0" xfId="1" applyFont="1" applyFill="1" applyAlignment="1">
      <alignment horizontal="center"/>
    </xf>
    <xf numFmtId="1" fontId="4" fillId="0" borderId="0" xfId="1" applyNumberFormat="1"/>
    <xf numFmtId="9" fontId="4" fillId="0" borderId="0" xfId="1" applyNumberFormat="1"/>
    <xf numFmtId="2" fontId="4" fillId="0" borderId="0" xfId="1" applyNumberFormat="1"/>
    <xf numFmtId="0" fontId="3" fillId="3" borderId="0" xfId="1" applyFont="1" applyFill="1"/>
    <xf numFmtId="0" fontId="3" fillId="3" borderId="0" xfId="1" applyFont="1" applyFill="1" applyAlignment="1">
      <alignment vertical="top" wrapText="1"/>
    </xf>
    <xf numFmtId="0" fontId="4" fillId="0" borderId="0" xfId="1" applyAlignment="1">
      <alignment vertical="top" wrapText="1"/>
    </xf>
    <xf numFmtId="0" fontId="3" fillId="4" borderId="0" xfId="1" applyFont="1" applyFill="1" applyAlignment="1">
      <alignment vertical="top" wrapText="1"/>
    </xf>
    <xf numFmtId="0" fontId="1" fillId="2" borderId="0" xfId="1" applyFont="1" applyFill="1" applyAlignment="1">
      <alignment horizontal="center" vertical="center" wrapText="1"/>
    </xf>
    <xf numFmtId="0" fontId="1" fillId="4" borderId="0" xfId="1" applyFont="1" applyFill="1" applyAlignment="1">
      <alignment horizontal="center" vertical="top" wrapText="1"/>
    </xf>
    <xf numFmtId="0" fontId="4" fillId="4" borderId="0" xfId="1" applyFill="1" applyAlignment="1">
      <alignment vertical="top" wrapText="1"/>
    </xf>
    <xf numFmtId="0" fontId="2" fillId="2" borderId="0" xfId="1" applyFont="1" applyFill="1" applyAlignment="1">
      <alignment horizontal="center"/>
    </xf>
  </cellXfs>
  <cellStyles count="2">
    <cellStyle name="Normal" xfId="1" xr:uid="{00000000-0005-0000-0000-000031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ndomManualScoringRowsV03" displayName="RandomManualScoringRowsV03" ref="A1:R91">
  <autoFilter ref="A1:R91" xr:uid="{00000000-0009-0000-0100-000001000000}"/>
  <tableColumns count="18">
    <tableColumn id="1" xr3:uid="{00000000-0010-0000-0000-000001000000}" name="任务ID"/>
    <tableColumn id="2" xr3:uid="{00000000-0010-0000-0000-000002000000}" name="难度"/>
    <tableColumn id="3" xr3:uid="{00000000-0010-0000-0000-000003000000}" name="领域"/>
    <tableColumn id="4" xr3:uid="{00000000-0010-0000-0000-000004000000}" name="任务类型"/>
    <tableColumn id="5" xr3:uid="{00000000-0010-0000-0000-000005000000}" name="PDE/系统"/>
    <tableColumn id="6" xr3:uid="{00000000-0010-0000-0000-000006000000}" name="题面英文"/>
    <tableColumn id="7" xr3:uid="{00000000-0010-0000-0000-000007000000}" name="评价角度"/>
    <tableColumn id="8" xr3:uid="{00000000-0010-0000-0000-000008000000}" name="评价角度英文"/>
    <tableColumn id="9" xr3:uid="{00000000-0010-0000-0000-000009000000}" name="Facet ID"/>
    <tableColumn id="10" xr3:uid="{00000000-0010-0000-0000-00000A000000}" name="模型"/>
    <tableColumn id="11" xr3:uid="{00000000-0010-0000-0000-00000B000000}" name="模型原名"/>
    <tableColumn id="12" xr3:uid="{00000000-0010-0000-0000-00000C000000}" name="模型回答"/>
    <tableColumn id="13" xr3:uid="{00000000-0010-0000-0000-00000D000000}" name="私有参考要点"/>
    <tableColumn id="15" xr3:uid="{00000000-0010-0000-0000-00000F000000}" name="评分标准0-5"/>
    <tableColumn id="16" xr3:uid="{00000000-0010-0000-0000-000010000000}" name="你的评分0-5"/>
    <tableColumn id="17" xr3:uid="{00000000-0010-0000-0000-000011000000}" name="错误标签"/>
    <tableColumn id="18" xr3:uid="{00000000-0010-0000-0000-000012000000}" name="备注"/>
    <tableColumn id="19" xr3:uid="{00000000-0010-0000-0000-000013000000}" name="初步评分参考"/>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andomScoringProgressV03" displayName="RandomScoringProgressV03" ref="A1:F7">
  <tableColumns count="6">
    <tableColumn id="1" xr3:uid="{00000000-0010-0000-0100-000001000000}" name="任务ID"/>
    <tableColumn id="2" xr3:uid="{00000000-0010-0000-0100-000002000000}" name="评分行数">
      <calculatedColumnFormula>COUNTIF(人工评分!$A$2:$A$91,A2)</calculatedColumnFormula>
    </tableColumn>
    <tableColumn id="3" xr3:uid="{00000000-0010-0000-0100-000003000000}" name="已评分">
      <calculatedColumnFormula>SUMPRODUCT((人工评分!$A$2:$A$91=A2)*ISNUMBER(人工评分!$O$2:$O$91)*(人工评分!$O$2:$O$91&gt;=0)*(人工评分!$O$2:$O$91&lt;=5))</calculatedColumnFormula>
    </tableColumn>
    <tableColumn id="4" xr3:uid="{00000000-0010-0000-0100-000004000000}" name="未评分">
      <calculatedColumnFormula>B2-C2</calculatedColumnFormula>
    </tableColumn>
    <tableColumn id="5" xr3:uid="{00000000-0010-0000-0100-000005000000}" name="完成率">
      <calculatedColumnFormula>IF(B2=0,"",C2/B2)</calculatedColumnFormula>
    </tableColumn>
    <tableColumn id="6" xr3:uid="{00000000-0010-0000-0100-000006000000}" name="平均分">
      <calculatedColumnFormula>IF(C2=0,"",SUMPRODUCT((人工评分!$A$2:$A$91=A2)*ISNUMBER(人工评分!$O$2:$O$91)*人工评分!$O$2:$O$91)/C2)</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1"/>
  <sheetViews>
    <sheetView showGridLines="0" topLeftCell="A15" workbookViewId="0">
      <selection activeCell="P97" sqref="P97"/>
    </sheetView>
  </sheetViews>
  <sheetFormatPr baseColWidth="10" defaultColWidth="8.83203125" defaultRowHeight="14"/>
  <cols>
    <col min="1" max="1" width="23.83203125" customWidth="1"/>
    <col min="2" max="2" width="7.83203125" customWidth="1"/>
    <col min="3" max="3" width="14.5" customWidth="1"/>
    <col min="4" max="4" width="18.33203125" customWidth="1"/>
    <col min="5" max="5" width="21.1640625" customWidth="1"/>
    <col min="6" max="6" width="48.83203125" customWidth="1"/>
    <col min="7" max="7" width="12.1640625" customWidth="1"/>
    <col min="8" max="9" width="16.1640625" customWidth="1"/>
    <col min="10" max="10" width="15.5" customWidth="1"/>
    <col min="11" max="11" width="21.6640625" customWidth="1"/>
    <col min="12" max="12" width="56.33203125" customWidth="1"/>
    <col min="13" max="13" width="38.1640625" customWidth="1"/>
    <col min="14" max="14" width="16.33203125" customWidth="1"/>
    <col min="15" max="15" width="10.5" customWidth="1"/>
    <col min="16" max="16" width="17.83203125" customWidth="1"/>
    <col min="17" max="17" width="28.83203125" customWidth="1"/>
    <col min="18" max="18" width="12.83203125" customWidth="1"/>
  </cols>
  <sheetData>
    <row r="1" spans="1:18" ht="30" customHeight="1">
      <c r="A1" s="9" t="s">
        <v>0</v>
      </c>
      <c r="B1" s="9" t="s">
        <v>1</v>
      </c>
      <c r="C1" s="9" t="s">
        <v>2</v>
      </c>
      <c r="D1" s="9" t="s">
        <v>3</v>
      </c>
      <c r="E1" s="9" t="s">
        <v>4</v>
      </c>
      <c r="F1" s="9" t="s">
        <v>5</v>
      </c>
      <c r="G1" s="9" t="s">
        <v>6</v>
      </c>
      <c r="H1" s="9" t="s">
        <v>7</v>
      </c>
      <c r="I1" s="9" t="s">
        <v>8</v>
      </c>
      <c r="J1" s="9" t="s">
        <v>9</v>
      </c>
      <c r="K1" s="9" t="s">
        <v>10</v>
      </c>
      <c r="L1" s="9" t="s">
        <v>11</v>
      </c>
      <c r="M1" s="9" t="s">
        <v>12</v>
      </c>
      <c r="N1" s="9" t="s">
        <v>13</v>
      </c>
      <c r="O1" s="10" t="s">
        <v>14</v>
      </c>
      <c r="P1" s="10" t="s">
        <v>15</v>
      </c>
      <c r="Q1" s="10" t="s">
        <v>16</v>
      </c>
      <c r="R1" s="10" t="s">
        <v>17</v>
      </c>
    </row>
    <row r="2" spans="1:18" ht="96" customHeight="1">
      <c r="A2" s="7" t="s">
        <v>18</v>
      </c>
      <c r="B2" s="7" t="s">
        <v>19</v>
      </c>
      <c r="C2" s="7" t="s">
        <v>20</v>
      </c>
      <c r="D2" s="7" t="s">
        <v>21</v>
      </c>
      <c r="E2" s="7" t="s">
        <v>22</v>
      </c>
      <c r="F2" s="7" t="s">
        <v>23</v>
      </c>
      <c r="G2" s="7" t="s">
        <v>24</v>
      </c>
      <c r="H2" s="7" t="s">
        <v>25</v>
      </c>
      <c r="I2" s="7" t="s">
        <v>26</v>
      </c>
      <c r="J2" s="7" t="s">
        <v>27</v>
      </c>
      <c r="K2" s="7" t="s">
        <v>28</v>
      </c>
      <c r="L2" s="7" t="s">
        <v>29</v>
      </c>
      <c r="M2" s="7" t="s">
        <v>30</v>
      </c>
      <c r="N2" s="7" t="s">
        <v>31</v>
      </c>
      <c r="O2" s="11">
        <v>4.5</v>
      </c>
      <c r="P2" s="11"/>
      <c r="Q2" s="11"/>
      <c r="R2" s="11">
        <v>5</v>
      </c>
    </row>
    <row r="3" spans="1:18" ht="96" customHeight="1">
      <c r="A3" s="7" t="s">
        <v>18</v>
      </c>
      <c r="B3" s="7" t="s">
        <v>19</v>
      </c>
      <c r="C3" s="7" t="s">
        <v>20</v>
      </c>
      <c r="D3" s="7" t="s">
        <v>21</v>
      </c>
      <c r="E3" s="7" t="s">
        <v>22</v>
      </c>
      <c r="F3" s="7" t="s">
        <v>23</v>
      </c>
      <c r="G3" s="7" t="s">
        <v>24</v>
      </c>
      <c r="H3" s="7" t="s">
        <v>25</v>
      </c>
      <c r="I3" s="7" t="s">
        <v>26</v>
      </c>
      <c r="J3" s="7" t="s">
        <v>32</v>
      </c>
      <c r="K3" s="7" t="s">
        <v>33</v>
      </c>
      <c r="L3" s="7" t="s">
        <v>34</v>
      </c>
      <c r="M3" s="7" t="s">
        <v>30</v>
      </c>
      <c r="N3" s="7" t="s">
        <v>31</v>
      </c>
      <c r="O3" s="11">
        <v>5</v>
      </c>
      <c r="P3" s="11"/>
      <c r="Q3" s="11"/>
      <c r="R3" s="11">
        <v>5</v>
      </c>
    </row>
    <row r="4" spans="1:18" ht="96" customHeight="1">
      <c r="A4" s="7" t="s">
        <v>18</v>
      </c>
      <c r="B4" s="7" t="s">
        <v>19</v>
      </c>
      <c r="C4" s="7" t="s">
        <v>20</v>
      </c>
      <c r="D4" s="7" t="s">
        <v>21</v>
      </c>
      <c r="E4" s="7" t="s">
        <v>22</v>
      </c>
      <c r="F4" s="7" t="s">
        <v>23</v>
      </c>
      <c r="G4" s="7" t="s">
        <v>24</v>
      </c>
      <c r="H4" s="7" t="s">
        <v>25</v>
      </c>
      <c r="I4" s="7" t="s">
        <v>26</v>
      </c>
      <c r="J4" s="7" t="s">
        <v>35</v>
      </c>
      <c r="K4" s="7" t="s">
        <v>36</v>
      </c>
      <c r="L4" s="7" t="s">
        <v>37</v>
      </c>
      <c r="M4" s="7" t="s">
        <v>30</v>
      </c>
      <c r="N4" s="7" t="s">
        <v>31</v>
      </c>
      <c r="O4" s="11">
        <v>5</v>
      </c>
      <c r="P4" s="11"/>
      <c r="Q4" s="11"/>
      <c r="R4" s="11">
        <v>5</v>
      </c>
    </row>
    <row r="5" spans="1:18" ht="96" customHeight="1">
      <c r="A5" s="7" t="s">
        <v>18</v>
      </c>
      <c r="B5" s="7" t="s">
        <v>19</v>
      </c>
      <c r="C5" s="7" t="s">
        <v>20</v>
      </c>
      <c r="D5" s="7" t="s">
        <v>21</v>
      </c>
      <c r="E5" s="7" t="s">
        <v>22</v>
      </c>
      <c r="F5" s="7" t="s">
        <v>23</v>
      </c>
      <c r="G5" s="7" t="s">
        <v>38</v>
      </c>
      <c r="H5" s="7" t="s">
        <v>39</v>
      </c>
      <c r="I5" s="7" t="s">
        <v>40</v>
      </c>
      <c r="J5" s="7" t="s">
        <v>27</v>
      </c>
      <c r="K5" s="7" t="s">
        <v>28</v>
      </c>
      <c r="L5" s="7" t="s">
        <v>41</v>
      </c>
      <c r="M5" s="7" t="s">
        <v>42</v>
      </c>
      <c r="N5" s="7" t="s">
        <v>43</v>
      </c>
      <c r="O5" s="11">
        <v>4.5</v>
      </c>
      <c r="P5" s="11"/>
      <c r="Q5" s="11"/>
      <c r="R5" s="11">
        <v>4</v>
      </c>
    </row>
    <row r="6" spans="1:18" ht="96" customHeight="1">
      <c r="A6" s="7" t="s">
        <v>18</v>
      </c>
      <c r="B6" s="7" t="s">
        <v>19</v>
      </c>
      <c r="C6" s="7" t="s">
        <v>20</v>
      </c>
      <c r="D6" s="7" t="s">
        <v>21</v>
      </c>
      <c r="E6" s="7" t="s">
        <v>22</v>
      </c>
      <c r="F6" s="7" t="s">
        <v>23</v>
      </c>
      <c r="G6" s="7" t="s">
        <v>38</v>
      </c>
      <c r="H6" s="7" t="s">
        <v>39</v>
      </c>
      <c r="I6" s="7" t="s">
        <v>40</v>
      </c>
      <c r="J6" s="7" t="s">
        <v>32</v>
      </c>
      <c r="K6" s="7" t="s">
        <v>33</v>
      </c>
      <c r="L6" s="7" t="s">
        <v>44</v>
      </c>
      <c r="M6" s="7" t="s">
        <v>42</v>
      </c>
      <c r="N6" s="7" t="s">
        <v>43</v>
      </c>
      <c r="O6" s="11">
        <v>5</v>
      </c>
      <c r="P6" s="11"/>
      <c r="Q6" s="11"/>
      <c r="R6" s="11">
        <v>5</v>
      </c>
    </row>
    <row r="7" spans="1:18" ht="96" customHeight="1">
      <c r="A7" s="7" t="s">
        <v>18</v>
      </c>
      <c r="B7" s="7" t="s">
        <v>19</v>
      </c>
      <c r="C7" s="7" t="s">
        <v>20</v>
      </c>
      <c r="D7" s="7" t="s">
        <v>21</v>
      </c>
      <c r="E7" s="7" t="s">
        <v>22</v>
      </c>
      <c r="F7" s="7" t="s">
        <v>23</v>
      </c>
      <c r="G7" s="7" t="s">
        <v>38</v>
      </c>
      <c r="H7" s="7" t="s">
        <v>39</v>
      </c>
      <c r="I7" s="7" t="s">
        <v>40</v>
      </c>
      <c r="J7" s="7" t="s">
        <v>35</v>
      </c>
      <c r="K7" s="7" t="s">
        <v>36</v>
      </c>
      <c r="L7" s="7" t="s">
        <v>45</v>
      </c>
      <c r="M7" s="7" t="s">
        <v>42</v>
      </c>
      <c r="N7" s="7" t="s">
        <v>43</v>
      </c>
      <c r="O7" s="11">
        <v>3.5</v>
      </c>
      <c r="P7" s="11"/>
      <c r="Q7" s="11"/>
      <c r="R7" s="11">
        <v>3</v>
      </c>
    </row>
    <row r="8" spans="1:18" ht="96" customHeight="1">
      <c r="A8" s="7" t="s">
        <v>18</v>
      </c>
      <c r="B8" s="7" t="s">
        <v>19</v>
      </c>
      <c r="C8" s="7" t="s">
        <v>20</v>
      </c>
      <c r="D8" s="7" t="s">
        <v>21</v>
      </c>
      <c r="E8" s="7" t="s">
        <v>22</v>
      </c>
      <c r="F8" s="7" t="s">
        <v>23</v>
      </c>
      <c r="G8" s="7" t="s">
        <v>46</v>
      </c>
      <c r="H8" s="7" t="s">
        <v>47</v>
      </c>
      <c r="I8" s="7" t="s">
        <v>48</v>
      </c>
      <c r="J8" s="7" t="s">
        <v>27</v>
      </c>
      <c r="K8" s="7" t="s">
        <v>28</v>
      </c>
      <c r="L8" s="7" t="s">
        <v>49</v>
      </c>
      <c r="M8" s="7" t="s">
        <v>50</v>
      </c>
      <c r="N8" s="7" t="s">
        <v>51</v>
      </c>
      <c r="O8" s="11">
        <v>4.5</v>
      </c>
      <c r="P8" s="11"/>
      <c r="Q8" s="11"/>
      <c r="R8" s="11">
        <v>4</v>
      </c>
    </row>
    <row r="9" spans="1:18" ht="96" customHeight="1">
      <c r="A9" s="7" t="s">
        <v>18</v>
      </c>
      <c r="B9" s="7" t="s">
        <v>19</v>
      </c>
      <c r="C9" s="7" t="s">
        <v>20</v>
      </c>
      <c r="D9" s="7" t="s">
        <v>21</v>
      </c>
      <c r="E9" s="7" t="s">
        <v>22</v>
      </c>
      <c r="F9" s="7" t="s">
        <v>23</v>
      </c>
      <c r="G9" s="7" t="s">
        <v>46</v>
      </c>
      <c r="H9" s="7" t="s">
        <v>47</v>
      </c>
      <c r="I9" s="7" t="s">
        <v>48</v>
      </c>
      <c r="J9" s="7" t="s">
        <v>32</v>
      </c>
      <c r="K9" s="7" t="s">
        <v>33</v>
      </c>
      <c r="L9" s="7" t="s">
        <v>52</v>
      </c>
      <c r="M9" s="7" t="s">
        <v>50</v>
      </c>
      <c r="N9" s="7" t="s">
        <v>51</v>
      </c>
      <c r="O9" s="11">
        <v>5</v>
      </c>
      <c r="P9" s="11"/>
      <c r="Q9" s="11"/>
      <c r="R9" s="11">
        <v>5</v>
      </c>
    </row>
    <row r="10" spans="1:18" ht="96" customHeight="1">
      <c r="A10" s="7" t="s">
        <v>18</v>
      </c>
      <c r="B10" s="7" t="s">
        <v>19</v>
      </c>
      <c r="C10" s="7" t="s">
        <v>20</v>
      </c>
      <c r="D10" s="7" t="s">
        <v>21</v>
      </c>
      <c r="E10" s="7" t="s">
        <v>22</v>
      </c>
      <c r="F10" s="7" t="s">
        <v>23</v>
      </c>
      <c r="G10" s="7" t="s">
        <v>46</v>
      </c>
      <c r="H10" s="7" t="s">
        <v>47</v>
      </c>
      <c r="I10" s="7" t="s">
        <v>48</v>
      </c>
      <c r="J10" s="7" t="s">
        <v>35</v>
      </c>
      <c r="K10" s="7" t="s">
        <v>36</v>
      </c>
      <c r="L10" s="7" t="s">
        <v>53</v>
      </c>
      <c r="M10" s="7" t="s">
        <v>50</v>
      </c>
      <c r="N10" s="7" t="s">
        <v>51</v>
      </c>
      <c r="O10" s="11">
        <v>3.5</v>
      </c>
      <c r="P10" s="11"/>
      <c r="Q10" s="11"/>
      <c r="R10" s="11">
        <v>3</v>
      </c>
    </row>
    <row r="11" spans="1:18" ht="96" customHeight="1">
      <c r="A11" s="7" t="s">
        <v>18</v>
      </c>
      <c r="B11" s="7" t="s">
        <v>19</v>
      </c>
      <c r="C11" s="7" t="s">
        <v>20</v>
      </c>
      <c r="D11" s="7" t="s">
        <v>21</v>
      </c>
      <c r="E11" s="7" t="s">
        <v>22</v>
      </c>
      <c r="F11" s="7" t="s">
        <v>23</v>
      </c>
      <c r="G11" s="7" t="s">
        <v>54</v>
      </c>
      <c r="H11" s="7" t="s">
        <v>55</v>
      </c>
      <c r="I11" s="7" t="s">
        <v>56</v>
      </c>
      <c r="J11" s="7" t="s">
        <v>27</v>
      </c>
      <c r="K11" s="7" t="s">
        <v>28</v>
      </c>
      <c r="L11" s="7" t="s">
        <v>57</v>
      </c>
      <c r="M11" s="7" t="s">
        <v>58</v>
      </c>
      <c r="N11" s="7" t="s">
        <v>59</v>
      </c>
      <c r="O11" s="11">
        <v>4</v>
      </c>
      <c r="P11" s="11"/>
      <c r="Q11" s="11"/>
      <c r="R11" s="11">
        <v>4</v>
      </c>
    </row>
    <row r="12" spans="1:18" ht="96" customHeight="1">
      <c r="A12" s="7" t="s">
        <v>18</v>
      </c>
      <c r="B12" s="7" t="s">
        <v>19</v>
      </c>
      <c r="C12" s="7" t="s">
        <v>20</v>
      </c>
      <c r="D12" s="7" t="s">
        <v>21</v>
      </c>
      <c r="E12" s="7" t="s">
        <v>22</v>
      </c>
      <c r="F12" s="7" t="s">
        <v>23</v>
      </c>
      <c r="G12" s="7" t="s">
        <v>54</v>
      </c>
      <c r="H12" s="7" t="s">
        <v>55</v>
      </c>
      <c r="I12" s="7" t="s">
        <v>56</v>
      </c>
      <c r="J12" s="7" t="s">
        <v>32</v>
      </c>
      <c r="K12" s="7" t="s">
        <v>33</v>
      </c>
      <c r="L12" s="7" t="s">
        <v>60</v>
      </c>
      <c r="M12" s="7" t="s">
        <v>58</v>
      </c>
      <c r="N12" s="7" t="s">
        <v>59</v>
      </c>
      <c r="O12" s="11">
        <v>4.5</v>
      </c>
      <c r="P12" s="11"/>
      <c r="Q12" s="11"/>
      <c r="R12" s="11">
        <v>5</v>
      </c>
    </row>
    <row r="13" spans="1:18" ht="96" customHeight="1">
      <c r="A13" s="7" t="s">
        <v>18</v>
      </c>
      <c r="B13" s="7" t="s">
        <v>19</v>
      </c>
      <c r="C13" s="7" t="s">
        <v>20</v>
      </c>
      <c r="D13" s="7" t="s">
        <v>21</v>
      </c>
      <c r="E13" s="7" t="s">
        <v>22</v>
      </c>
      <c r="F13" s="7" t="s">
        <v>23</v>
      </c>
      <c r="G13" s="7" t="s">
        <v>54</v>
      </c>
      <c r="H13" s="7" t="s">
        <v>55</v>
      </c>
      <c r="I13" s="7" t="s">
        <v>56</v>
      </c>
      <c r="J13" s="7" t="s">
        <v>35</v>
      </c>
      <c r="K13" s="7" t="s">
        <v>36</v>
      </c>
      <c r="L13" s="7" t="s">
        <v>61</v>
      </c>
      <c r="M13" s="7" t="s">
        <v>58</v>
      </c>
      <c r="N13" s="7" t="s">
        <v>59</v>
      </c>
      <c r="O13" s="11">
        <v>5</v>
      </c>
      <c r="P13" s="11"/>
      <c r="Q13" s="11"/>
      <c r="R13" s="11">
        <v>4</v>
      </c>
    </row>
    <row r="14" spans="1:18" ht="96" customHeight="1">
      <c r="A14" s="7" t="s">
        <v>18</v>
      </c>
      <c r="B14" s="7" t="s">
        <v>19</v>
      </c>
      <c r="C14" s="7" t="s">
        <v>20</v>
      </c>
      <c r="D14" s="7" t="s">
        <v>21</v>
      </c>
      <c r="E14" s="7" t="s">
        <v>22</v>
      </c>
      <c r="F14" s="7" t="s">
        <v>23</v>
      </c>
      <c r="G14" s="7" t="s">
        <v>62</v>
      </c>
      <c r="H14" s="7" t="s">
        <v>63</v>
      </c>
      <c r="I14" s="7" t="s">
        <v>64</v>
      </c>
      <c r="J14" s="7" t="s">
        <v>27</v>
      </c>
      <c r="K14" s="7" t="s">
        <v>28</v>
      </c>
      <c r="L14" s="7" t="s">
        <v>65</v>
      </c>
      <c r="M14" s="7" t="s">
        <v>66</v>
      </c>
      <c r="N14" s="7" t="s">
        <v>67</v>
      </c>
      <c r="O14" s="11">
        <v>4.5</v>
      </c>
      <c r="P14" s="11"/>
      <c r="Q14" s="11"/>
      <c r="R14" s="11">
        <v>4</v>
      </c>
    </row>
    <row r="15" spans="1:18" ht="96" customHeight="1">
      <c r="A15" s="7" t="s">
        <v>18</v>
      </c>
      <c r="B15" s="7" t="s">
        <v>19</v>
      </c>
      <c r="C15" s="7" t="s">
        <v>20</v>
      </c>
      <c r="D15" s="7" t="s">
        <v>21</v>
      </c>
      <c r="E15" s="7" t="s">
        <v>22</v>
      </c>
      <c r="F15" s="7" t="s">
        <v>23</v>
      </c>
      <c r="G15" s="7" t="s">
        <v>62</v>
      </c>
      <c r="H15" s="7" t="s">
        <v>63</v>
      </c>
      <c r="I15" s="7" t="s">
        <v>64</v>
      </c>
      <c r="J15" s="7" t="s">
        <v>32</v>
      </c>
      <c r="K15" s="7" t="s">
        <v>33</v>
      </c>
      <c r="L15" s="7" t="s">
        <v>68</v>
      </c>
      <c r="M15" s="7" t="s">
        <v>66</v>
      </c>
      <c r="N15" s="7" t="s">
        <v>67</v>
      </c>
      <c r="O15" s="11">
        <v>3.5</v>
      </c>
      <c r="P15" s="11"/>
      <c r="Q15" s="11"/>
      <c r="R15" s="11">
        <v>4</v>
      </c>
    </row>
    <row r="16" spans="1:18" ht="96" customHeight="1">
      <c r="A16" s="7" t="s">
        <v>18</v>
      </c>
      <c r="B16" s="7" t="s">
        <v>19</v>
      </c>
      <c r="C16" s="7" t="s">
        <v>20</v>
      </c>
      <c r="D16" s="7" t="s">
        <v>21</v>
      </c>
      <c r="E16" s="7" t="s">
        <v>22</v>
      </c>
      <c r="F16" s="7" t="s">
        <v>23</v>
      </c>
      <c r="G16" s="7" t="s">
        <v>62</v>
      </c>
      <c r="H16" s="7" t="s">
        <v>63</v>
      </c>
      <c r="I16" s="7" t="s">
        <v>64</v>
      </c>
      <c r="J16" s="7" t="s">
        <v>35</v>
      </c>
      <c r="K16" s="7" t="s">
        <v>36</v>
      </c>
      <c r="L16" s="7" t="s">
        <v>69</v>
      </c>
      <c r="M16" s="7" t="s">
        <v>66</v>
      </c>
      <c r="N16" s="7" t="s">
        <v>67</v>
      </c>
      <c r="O16" s="11">
        <v>5</v>
      </c>
      <c r="P16" s="11"/>
      <c r="Q16" s="11"/>
      <c r="R16" s="11">
        <v>4</v>
      </c>
    </row>
    <row r="17" spans="1:18" ht="96" customHeight="1">
      <c r="A17" s="7" t="s">
        <v>70</v>
      </c>
      <c r="B17" s="7" t="s">
        <v>19</v>
      </c>
      <c r="C17" s="7" t="s">
        <v>71</v>
      </c>
      <c r="D17" s="7" t="s">
        <v>21</v>
      </c>
      <c r="E17" s="7" t="s">
        <v>72</v>
      </c>
      <c r="F17" s="7" t="s">
        <v>73</v>
      </c>
      <c r="G17" s="7" t="s">
        <v>24</v>
      </c>
      <c r="H17" s="7" t="s">
        <v>25</v>
      </c>
      <c r="I17" s="7" t="s">
        <v>26</v>
      </c>
      <c r="J17" s="7" t="s">
        <v>27</v>
      </c>
      <c r="K17" s="7" t="s">
        <v>28</v>
      </c>
      <c r="L17" s="7" t="s">
        <v>74</v>
      </c>
      <c r="M17" s="7" t="s">
        <v>75</v>
      </c>
      <c r="N17" s="7" t="s">
        <v>31</v>
      </c>
      <c r="O17" s="11">
        <v>5</v>
      </c>
      <c r="P17" s="11"/>
      <c r="Q17" s="11"/>
      <c r="R17" s="11">
        <v>5</v>
      </c>
    </row>
    <row r="18" spans="1:18" ht="96" customHeight="1">
      <c r="A18" s="7" t="s">
        <v>70</v>
      </c>
      <c r="B18" s="7" t="s">
        <v>19</v>
      </c>
      <c r="C18" s="7" t="s">
        <v>71</v>
      </c>
      <c r="D18" s="7" t="s">
        <v>21</v>
      </c>
      <c r="E18" s="7" t="s">
        <v>72</v>
      </c>
      <c r="F18" s="7" t="s">
        <v>73</v>
      </c>
      <c r="G18" s="7" t="s">
        <v>24</v>
      </c>
      <c r="H18" s="7" t="s">
        <v>25</v>
      </c>
      <c r="I18" s="7" t="s">
        <v>26</v>
      </c>
      <c r="J18" s="7" t="s">
        <v>32</v>
      </c>
      <c r="K18" s="7" t="s">
        <v>33</v>
      </c>
      <c r="L18" s="7" t="s">
        <v>76</v>
      </c>
      <c r="M18" s="7" t="s">
        <v>75</v>
      </c>
      <c r="N18" s="7" t="s">
        <v>31</v>
      </c>
      <c r="O18" s="11">
        <v>4.5</v>
      </c>
      <c r="P18" s="11"/>
      <c r="Q18" s="11"/>
      <c r="R18" s="11">
        <v>5</v>
      </c>
    </row>
    <row r="19" spans="1:18" ht="96" customHeight="1">
      <c r="A19" s="7" t="s">
        <v>70</v>
      </c>
      <c r="B19" s="7" t="s">
        <v>19</v>
      </c>
      <c r="C19" s="7" t="s">
        <v>71</v>
      </c>
      <c r="D19" s="7" t="s">
        <v>21</v>
      </c>
      <c r="E19" s="7" t="s">
        <v>72</v>
      </c>
      <c r="F19" s="7" t="s">
        <v>73</v>
      </c>
      <c r="G19" s="7" t="s">
        <v>24</v>
      </c>
      <c r="H19" s="7" t="s">
        <v>25</v>
      </c>
      <c r="I19" s="7" t="s">
        <v>26</v>
      </c>
      <c r="J19" s="7" t="s">
        <v>35</v>
      </c>
      <c r="K19" s="7" t="s">
        <v>36</v>
      </c>
      <c r="L19" s="7" t="s">
        <v>77</v>
      </c>
      <c r="M19" s="7" t="s">
        <v>75</v>
      </c>
      <c r="N19" s="7" t="s">
        <v>31</v>
      </c>
      <c r="O19" s="11">
        <v>4</v>
      </c>
      <c r="P19" s="11"/>
      <c r="Q19" s="11"/>
      <c r="R19" s="11">
        <v>5</v>
      </c>
    </row>
    <row r="20" spans="1:18" ht="96" customHeight="1">
      <c r="A20" s="7" t="s">
        <v>70</v>
      </c>
      <c r="B20" s="7" t="s">
        <v>19</v>
      </c>
      <c r="C20" s="7" t="s">
        <v>71</v>
      </c>
      <c r="D20" s="7" t="s">
        <v>21</v>
      </c>
      <c r="E20" s="7" t="s">
        <v>72</v>
      </c>
      <c r="F20" s="7" t="s">
        <v>73</v>
      </c>
      <c r="G20" s="7" t="s">
        <v>38</v>
      </c>
      <c r="H20" s="7" t="s">
        <v>39</v>
      </c>
      <c r="I20" s="7" t="s">
        <v>40</v>
      </c>
      <c r="J20" s="7" t="s">
        <v>27</v>
      </c>
      <c r="K20" s="7" t="s">
        <v>28</v>
      </c>
      <c r="L20" s="7" t="s">
        <v>78</v>
      </c>
      <c r="M20" s="7" t="s">
        <v>79</v>
      </c>
      <c r="N20" s="7" t="s">
        <v>43</v>
      </c>
      <c r="O20" s="11">
        <v>5</v>
      </c>
      <c r="P20" s="11"/>
      <c r="Q20" s="11"/>
      <c r="R20" s="11">
        <v>5</v>
      </c>
    </row>
    <row r="21" spans="1:18" ht="96" customHeight="1">
      <c r="A21" s="7" t="s">
        <v>70</v>
      </c>
      <c r="B21" s="7" t="s">
        <v>19</v>
      </c>
      <c r="C21" s="7" t="s">
        <v>71</v>
      </c>
      <c r="D21" s="7" t="s">
        <v>21</v>
      </c>
      <c r="E21" s="7" t="s">
        <v>72</v>
      </c>
      <c r="F21" s="7" t="s">
        <v>73</v>
      </c>
      <c r="G21" s="7" t="s">
        <v>38</v>
      </c>
      <c r="H21" s="7" t="s">
        <v>39</v>
      </c>
      <c r="I21" s="7" t="s">
        <v>40</v>
      </c>
      <c r="J21" s="7" t="s">
        <v>32</v>
      </c>
      <c r="K21" s="7" t="s">
        <v>33</v>
      </c>
      <c r="L21" s="7" t="s">
        <v>80</v>
      </c>
      <c r="M21" s="7" t="s">
        <v>79</v>
      </c>
      <c r="N21" s="7" t="s">
        <v>43</v>
      </c>
      <c r="O21" s="11">
        <v>4.5</v>
      </c>
      <c r="P21" s="11"/>
      <c r="Q21" s="11"/>
      <c r="R21" s="11">
        <v>4</v>
      </c>
    </row>
    <row r="22" spans="1:18" ht="96" customHeight="1">
      <c r="A22" s="7" t="s">
        <v>70</v>
      </c>
      <c r="B22" s="7" t="s">
        <v>19</v>
      </c>
      <c r="C22" s="7" t="s">
        <v>71</v>
      </c>
      <c r="D22" s="7" t="s">
        <v>21</v>
      </c>
      <c r="E22" s="7" t="s">
        <v>72</v>
      </c>
      <c r="F22" s="7" t="s">
        <v>73</v>
      </c>
      <c r="G22" s="7" t="s">
        <v>38</v>
      </c>
      <c r="H22" s="7" t="s">
        <v>39</v>
      </c>
      <c r="I22" s="7" t="s">
        <v>40</v>
      </c>
      <c r="J22" s="7" t="s">
        <v>35</v>
      </c>
      <c r="K22" s="7" t="s">
        <v>36</v>
      </c>
      <c r="L22" s="7" t="s">
        <v>81</v>
      </c>
      <c r="M22" s="7" t="s">
        <v>79</v>
      </c>
      <c r="N22" s="7" t="s">
        <v>43</v>
      </c>
      <c r="O22" s="11">
        <v>5</v>
      </c>
      <c r="P22" s="11"/>
      <c r="Q22" s="11"/>
      <c r="R22" s="11">
        <v>5</v>
      </c>
    </row>
    <row r="23" spans="1:18" ht="96" customHeight="1">
      <c r="A23" s="7" t="s">
        <v>70</v>
      </c>
      <c r="B23" s="7" t="s">
        <v>19</v>
      </c>
      <c r="C23" s="7" t="s">
        <v>71</v>
      </c>
      <c r="D23" s="7" t="s">
        <v>21</v>
      </c>
      <c r="E23" s="7" t="s">
        <v>72</v>
      </c>
      <c r="F23" s="7" t="s">
        <v>73</v>
      </c>
      <c r="G23" s="7" t="s">
        <v>46</v>
      </c>
      <c r="H23" s="7" t="s">
        <v>47</v>
      </c>
      <c r="I23" s="7" t="s">
        <v>48</v>
      </c>
      <c r="J23" s="7" t="s">
        <v>27</v>
      </c>
      <c r="K23" s="7" t="s">
        <v>28</v>
      </c>
      <c r="L23" s="7" t="s">
        <v>82</v>
      </c>
      <c r="M23" s="7" t="s">
        <v>83</v>
      </c>
      <c r="N23" s="7" t="s">
        <v>51</v>
      </c>
      <c r="O23" s="11">
        <v>4</v>
      </c>
      <c r="P23" s="11"/>
      <c r="Q23" s="11"/>
      <c r="R23" s="11">
        <v>4</v>
      </c>
    </row>
    <row r="24" spans="1:18" ht="96" customHeight="1">
      <c r="A24" s="7" t="s">
        <v>70</v>
      </c>
      <c r="B24" s="7" t="s">
        <v>19</v>
      </c>
      <c r="C24" s="7" t="s">
        <v>71</v>
      </c>
      <c r="D24" s="7" t="s">
        <v>21</v>
      </c>
      <c r="E24" s="7" t="s">
        <v>72</v>
      </c>
      <c r="F24" s="7" t="s">
        <v>73</v>
      </c>
      <c r="G24" s="7" t="s">
        <v>46</v>
      </c>
      <c r="H24" s="7" t="s">
        <v>47</v>
      </c>
      <c r="I24" s="7" t="s">
        <v>48</v>
      </c>
      <c r="J24" s="7" t="s">
        <v>32</v>
      </c>
      <c r="K24" s="7" t="s">
        <v>33</v>
      </c>
      <c r="L24" s="7" t="s">
        <v>84</v>
      </c>
      <c r="M24" s="7" t="s">
        <v>83</v>
      </c>
      <c r="N24" s="7" t="s">
        <v>51</v>
      </c>
      <c r="O24" s="11">
        <v>4.5</v>
      </c>
      <c r="P24" s="11"/>
      <c r="Q24" s="11"/>
      <c r="R24" s="11">
        <v>4</v>
      </c>
    </row>
    <row r="25" spans="1:18" ht="96" customHeight="1">
      <c r="A25" s="7" t="s">
        <v>70</v>
      </c>
      <c r="B25" s="7" t="s">
        <v>19</v>
      </c>
      <c r="C25" s="7" t="s">
        <v>71</v>
      </c>
      <c r="D25" s="7" t="s">
        <v>21</v>
      </c>
      <c r="E25" s="7" t="s">
        <v>72</v>
      </c>
      <c r="F25" s="7" t="s">
        <v>73</v>
      </c>
      <c r="G25" s="7" t="s">
        <v>46</v>
      </c>
      <c r="H25" s="7" t="s">
        <v>47</v>
      </c>
      <c r="I25" s="7" t="s">
        <v>48</v>
      </c>
      <c r="J25" s="7" t="s">
        <v>35</v>
      </c>
      <c r="K25" s="7" t="s">
        <v>36</v>
      </c>
      <c r="L25" s="7" t="s">
        <v>85</v>
      </c>
      <c r="M25" s="7" t="s">
        <v>83</v>
      </c>
      <c r="N25" s="7" t="s">
        <v>51</v>
      </c>
      <c r="O25" s="11">
        <v>3.5</v>
      </c>
      <c r="P25" s="11"/>
      <c r="Q25" s="11"/>
      <c r="R25" s="11">
        <v>4</v>
      </c>
    </row>
    <row r="26" spans="1:18" ht="96" customHeight="1">
      <c r="A26" s="7" t="s">
        <v>70</v>
      </c>
      <c r="B26" s="7" t="s">
        <v>19</v>
      </c>
      <c r="C26" s="7" t="s">
        <v>71</v>
      </c>
      <c r="D26" s="7" t="s">
        <v>21</v>
      </c>
      <c r="E26" s="7" t="s">
        <v>72</v>
      </c>
      <c r="F26" s="7" t="s">
        <v>73</v>
      </c>
      <c r="G26" s="7" t="s">
        <v>54</v>
      </c>
      <c r="H26" s="7" t="s">
        <v>55</v>
      </c>
      <c r="I26" s="7" t="s">
        <v>56</v>
      </c>
      <c r="J26" s="7" t="s">
        <v>27</v>
      </c>
      <c r="K26" s="7" t="s">
        <v>28</v>
      </c>
      <c r="L26" s="7" t="s">
        <v>86</v>
      </c>
      <c r="M26" s="7" t="s">
        <v>87</v>
      </c>
      <c r="N26" s="7" t="s">
        <v>59</v>
      </c>
      <c r="O26" s="11">
        <v>5</v>
      </c>
      <c r="P26" s="11"/>
      <c r="Q26" s="11"/>
      <c r="R26" s="11">
        <v>4</v>
      </c>
    </row>
    <row r="27" spans="1:18" ht="96" customHeight="1">
      <c r="A27" s="7" t="s">
        <v>70</v>
      </c>
      <c r="B27" s="7" t="s">
        <v>19</v>
      </c>
      <c r="C27" s="7" t="s">
        <v>71</v>
      </c>
      <c r="D27" s="7" t="s">
        <v>21</v>
      </c>
      <c r="E27" s="7" t="s">
        <v>72</v>
      </c>
      <c r="F27" s="7" t="s">
        <v>73</v>
      </c>
      <c r="G27" s="7" t="s">
        <v>54</v>
      </c>
      <c r="H27" s="7" t="s">
        <v>55</v>
      </c>
      <c r="I27" s="7" t="s">
        <v>56</v>
      </c>
      <c r="J27" s="7" t="s">
        <v>32</v>
      </c>
      <c r="K27" s="7" t="s">
        <v>33</v>
      </c>
      <c r="L27" s="7" t="s">
        <v>88</v>
      </c>
      <c r="M27" s="7" t="s">
        <v>87</v>
      </c>
      <c r="N27" s="7" t="s">
        <v>59</v>
      </c>
      <c r="O27" s="11">
        <v>5</v>
      </c>
      <c r="P27" s="11"/>
      <c r="Q27" s="11"/>
      <c r="R27" s="11">
        <v>5</v>
      </c>
    </row>
    <row r="28" spans="1:18" ht="96" customHeight="1">
      <c r="A28" s="7" t="s">
        <v>70</v>
      </c>
      <c r="B28" s="7" t="s">
        <v>19</v>
      </c>
      <c r="C28" s="7" t="s">
        <v>71</v>
      </c>
      <c r="D28" s="7" t="s">
        <v>21</v>
      </c>
      <c r="E28" s="7" t="s">
        <v>72</v>
      </c>
      <c r="F28" s="7" t="s">
        <v>73</v>
      </c>
      <c r="G28" s="7" t="s">
        <v>54</v>
      </c>
      <c r="H28" s="7" t="s">
        <v>55</v>
      </c>
      <c r="I28" s="7" t="s">
        <v>56</v>
      </c>
      <c r="J28" s="7" t="s">
        <v>35</v>
      </c>
      <c r="K28" s="7" t="s">
        <v>36</v>
      </c>
      <c r="L28" s="7" t="s">
        <v>89</v>
      </c>
      <c r="M28" s="7" t="s">
        <v>87</v>
      </c>
      <c r="N28" s="7" t="s">
        <v>59</v>
      </c>
      <c r="O28" s="11">
        <v>4.5</v>
      </c>
      <c r="P28" s="11"/>
      <c r="Q28" s="11"/>
      <c r="R28" s="11">
        <v>4</v>
      </c>
    </row>
    <row r="29" spans="1:18" ht="96" customHeight="1">
      <c r="A29" s="7" t="s">
        <v>70</v>
      </c>
      <c r="B29" s="7" t="s">
        <v>19</v>
      </c>
      <c r="C29" s="7" t="s">
        <v>71</v>
      </c>
      <c r="D29" s="7" t="s">
        <v>21</v>
      </c>
      <c r="E29" s="7" t="s">
        <v>72</v>
      </c>
      <c r="F29" s="7" t="s">
        <v>73</v>
      </c>
      <c r="G29" s="7" t="s">
        <v>62</v>
      </c>
      <c r="H29" s="7" t="s">
        <v>63</v>
      </c>
      <c r="I29" s="7" t="s">
        <v>64</v>
      </c>
      <c r="J29" s="7" t="s">
        <v>27</v>
      </c>
      <c r="K29" s="7" t="s">
        <v>28</v>
      </c>
      <c r="L29" s="7" t="s">
        <v>90</v>
      </c>
      <c r="M29" s="7" t="s">
        <v>91</v>
      </c>
      <c r="N29" s="7" t="s">
        <v>67</v>
      </c>
      <c r="O29" s="11">
        <v>4</v>
      </c>
      <c r="P29" s="11"/>
      <c r="Q29" s="11"/>
      <c r="R29" s="11">
        <v>4</v>
      </c>
    </row>
    <row r="30" spans="1:18" ht="96" customHeight="1">
      <c r="A30" s="7" t="s">
        <v>70</v>
      </c>
      <c r="B30" s="7" t="s">
        <v>19</v>
      </c>
      <c r="C30" s="7" t="s">
        <v>71</v>
      </c>
      <c r="D30" s="7" t="s">
        <v>21</v>
      </c>
      <c r="E30" s="7" t="s">
        <v>72</v>
      </c>
      <c r="F30" s="7" t="s">
        <v>73</v>
      </c>
      <c r="G30" s="7" t="s">
        <v>62</v>
      </c>
      <c r="H30" s="7" t="s">
        <v>63</v>
      </c>
      <c r="I30" s="7" t="s">
        <v>64</v>
      </c>
      <c r="J30" s="7" t="s">
        <v>32</v>
      </c>
      <c r="K30" s="7" t="s">
        <v>33</v>
      </c>
      <c r="L30" s="7" t="s">
        <v>92</v>
      </c>
      <c r="M30" s="7" t="s">
        <v>91</v>
      </c>
      <c r="N30" s="7" t="s">
        <v>67</v>
      </c>
      <c r="O30" s="11">
        <v>5</v>
      </c>
      <c r="P30" s="11"/>
      <c r="Q30" s="11"/>
      <c r="R30" s="11">
        <v>5</v>
      </c>
    </row>
    <row r="31" spans="1:18" ht="96" customHeight="1">
      <c r="A31" s="7" t="s">
        <v>70</v>
      </c>
      <c r="B31" s="7" t="s">
        <v>19</v>
      </c>
      <c r="C31" s="7" t="s">
        <v>71</v>
      </c>
      <c r="D31" s="7" t="s">
        <v>21</v>
      </c>
      <c r="E31" s="7" t="s">
        <v>72</v>
      </c>
      <c r="F31" s="7" t="s">
        <v>73</v>
      </c>
      <c r="G31" s="7" t="s">
        <v>62</v>
      </c>
      <c r="H31" s="7" t="s">
        <v>63</v>
      </c>
      <c r="I31" s="7" t="s">
        <v>64</v>
      </c>
      <c r="J31" s="7" t="s">
        <v>35</v>
      </c>
      <c r="K31" s="7" t="s">
        <v>36</v>
      </c>
      <c r="L31" s="7" t="s">
        <v>93</v>
      </c>
      <c r="M31" s="7" t="s">
        <v>91</v>
      </c>
      <c r="N31" s="7" t="s">
        <v>67</v>
      </c>
      <c r="O31" s="11">
        <v>4.5</v>
      </c>
      <c r="P31" s="11"/>
      <c r="Q31" s="11"/>
      <c r="R31" s="11">
        <v>5</v>
      </c>
    </row>
    <row r="32" spans="1:18" ht="96" customHeight="1">
      <c r="A32" s="7" t="s">
        <v>94</v>
      </c>
      <c r="B32" s="7" t="s">
        <v>95</v>
      </c>
      <c r="C32" s="7" t="s">
        <v>96</v>
      </c>
      <c r="D32" s="7" t="s">
        <v>97</v>
      </c>
      <c r="E32" s="7" t="s">
        <v>98</v>
      </c>
      <c r="F32" s="7" t="s">
        <v>99</v>
      </c>
      <c r="G32" s="7" t="s">
        <v>24</v>
      </c>
      <c r="H32" s="7" t="s">
        <v>25</v>
      </c>
      <c r="I32" s="7" t="s">
        <v>26</v>
      </c>
      <c r="J32" s="7" t="s">
        <v>27</v>
      </c>
      <c r="K32" s="7" t="s">
        <v>28</v>
      </c>
      <c r="L32" s="7" t="s">
        <v>100</v>
      </c>
      <c r="M32" s="7" t="s">
        <v>101</v>
      </c>
      <c r="N32" s="7" t="s">
        <v>31</v>
      </c>
      <c r="O32" s="11">
        <v>4.5</v>
      </c>
      <c r="P32" s="11"/>
      <c r="Q32" s="11"/>
      <c r="R32" s="11">
        <v>5</v>
      </c>
    </row>
    <row r="33" spans="1:18" ht="96" customHeight="1">
      <c r="A33" s="7" t="s">
        <v>94</v>
      </c>
      <c r="B33" s="7" t="s">
        <v>95</v>
      </c>
      <c r="C33" s="7" t="s">
        <v>96</v>
      </c>
      <c r="D33" s="7" t="s">
        <v>97</v>
      </c>
      <c r="E33" s="7" t="s">
        <v>98</v>
      </c>
      <c r="F33" s="7" t="s">
        <v>99</v>
      </c>
      <c r="G33" s="7" t="s">
        <v>24</v>
      </c>
      <c r="H33" s="7" t="s">
        <v>25</v>
      </c>
      <c r="I33" s="7" t="s">
        <v>26</v>
      </c>
      <c r="J33" s="7" t="s">
        <v>32</v>
      </c>
      <c r="K33" s="7" t="s">
        <v>33</v>
      </c>
      <c r="L33" s="7" t="s">
        <v>102</v>
      </c>
      <c r="M33" s="7" t="s">
        <v>101</v>
      </c>
      <c r="N33" s="7" t="s">
        <v>31</v>
      </c>
      <c r="O33" s="11">
        <v>5</v>
      </c>
      <c r="P33" s="11"/>
      <c r="Q33" s="11"/>
      <c r="R33" s="11">
        <v>5</v>
      </c>
    </row>
    <row r="34" spans="1:18" ht="96" customHeight="1">
      <c r="A34" s="7" t="s">
        <v>94</v>
      </c>
      <c r="B34" s="7" t="s">
        <v>95</v>
      </c>
      <c r="C34" s="7" t="s">
        <v>96</v>
      </c>
      <c r="D34" s="7" t="s">
        <v>97</v>
      </c>
      <c r="E34" s="7" t="s">
        <v>98</v>
      </c>
      <c r="F34" s="7" t="s">
        <v>99</v>
      </c>
      <c r="G34" s="7" t="s">
        <v>24</v>
      </c>
      <c r="H34" s="7" t="s">
        <v>25</v>
      </c>
      <c r="I34" s="7" t="s">
        <v>26</v>
      </c>
      <c r="J34" s="7" t="s">
        <v>35</v>
      </c>
      <c r="K34" s="7" t="s">
        <v>36</v>
      </c>
      <c r="L34" s="7" t="s">
        <v>103</v>
      </c>
      <c r="M34" s="7" t="s">
        <v>101</v>
      </c>
      <c r="N34" s="7" t="s">
        <v>31</v>
      </c>
      <c r="O34" s="11">
        <v>4.5</v>
      </c>
      <c r="P34" s="11"/>
      <c r="Q34" s="11"/>
      <c r="R34" s="11">
        <v>4</v>
      </c>
    </row>
    <row r="35" spans="1:18" ht="96" customHeight="1">
      <c r="A35" s="7" t="s">
        <v>94</v>
      </c>
      <c r="B35" s="7" t="s">
        <v>95</v>
      </c>
      <c r="C35" s="7" t="s">
        <v>96</v>
      </c>
      <c r="D35" s="7" t="s">
        <v>97</v>
      </c>
      <c r="E35" s="7" t="s">
        <v>98</v>
      </c>
      <c r="F35" s="7" t="s">
        <v>99</v>
      </c>
      <c r="G35" s="7" t="s">
        <v>38</v>
      </c>
      <c r="H35" s="7" t="s">
        <v>39</v>
      </c>
      <c r="I35" s="7" t="s">
        <v>40</v>
      </c>
      <c r="J35" s="7" t="s">
        <v>27</v>
      </c>
      <c r="K35" s="7" t="s">
        <v>28</v>
      </c>
      <c r="L35" s="7" t="s">
        <v>104</v>
      </c>
      <c r="M35" s="7" t="s">
        <v>105</v>
      </c>
      <c r="N35" s="7" t="s">
        <v>43</v>
      </c>
      <c r="O35" s="11">
        <v>4.5</v>
      </c>
      <c r="P35" s="11"/>
      <c r="Q35" s="11"/>
      <c r="R35" s="11">
        <v>4</v>
      </c>
    </row>
    <row r="36" spans="1:18" ht="96" customHeight="1">
      <c r="A36" s="7" t="s">
        <v>94</v>
      </c>
      <c r="B36" s="7" t="s">
        <v>95</v>
      </c>
      <c r="C36" s="7" t="s">
        <v>96</v>
      </c>
      <c r="D36" s="7" t="s">
        <v>97</v>
      </c>
      <c r="E36" s="7" t="s">
        <v>98</v>
      </c>
      <c r="F36" s="7" t="s">
        <v>99</v>
      </c>
      <c r="G36" s="7" t="s">
        <v>38</v>
      </c>
      <c r="H36" s="7" t="s">
        <v>39</v>
      </c>
      <c r="I36" s="7" t="s">
        <v>40</v>
      </c>
      <c r="J36" s="7" t="s">
        <v>32</v>
      </c>
      <c r="K36" s="7" t="s">
        <v>33</v>
      </c>
      <c r="L36" s="7" t="s">
        <v>106</v>
      </c>
      <c r="M36" s="7" t="s">
        <v>105</v>
      </c>
      <c r="N36" s="7" t="s">
        <v>43</v>
      </c>
      <c r="O36" s="11">
        <v>4</v>
      </c>
      <c r="P36" s="11"/>
      <c r="Q36" s="11"/>
      <c r="R36" s="11">
        <v>4</v>
      </c>
    </row>
    <row r="37" spans="1:18" ht="96" customHeight="1">
      <c r="A37" s="7" t="s">
        <v>94</v>
      </c>
      <c r="B37" s="7" t="s">
        <v>95</v>
      </c>
      <c r="C37" s="7" t="s">
        <v>96</v>
      </c>
      <c r="D37" s="7" t="s">
        <v>97</v>
      </c>
      <c r="E37" s="7" t="s">
        <v>98</v>
      </c>
      <c r="F37" s="7" t="s">
        <v>99</v>
      </c>
      <c r="G37" s="7" t="s">
        <v>38</v>
      </c>
      <c r="H37" s="7" t="s">
        <v>39</v>
      </c>
      <c r="I37" s="7" t="s">
        <v>40</v>
      </c>
      <c r="J37" s="7" t="s">
        <v>35</v>
      </c>
      <c r="K37" s="7" t="s">
        <v>36</v>
      </c>
      <c r="L37" s="7" t="s">
        <v>107</v>
      </c>
      <c r="M37" s="7" t="s">
        <v>105</v>
      </c>
      <c r="N37" s="7" t="s">
        <v>43</v>
      </c>
      <c r="O37" s="11">
        <v>5</v>
      </c>
      <c r="P37" s="11"/>
      <c r="Q37" s="11"/>
      <c r="R37" s="11">
        <v>4</v>
      </c>
    </row>
    <row r="38" spans="1:18" ht="96" customHeight="1">
      <c r="A38" s="7" t="s">
        <v>94</v>
      </c>
      <c r="B38" s="7" t="s">
        <v>95</v>
      </c>
      <c r="C38" s="7" t="s">
        <v>96</v>
      </c>
      <c r="D38" s="7" t="s">
        <v>97</v>
      </c>
      <c r="E38" s="7" t="s">
        <v>98</v>
      </c>
      <c r="F38" s="7" t="s">
        <v>99</v>
      </c>
      <c r="G38" s="7" t="s">
        <v>46</v>
      </c>
      <c r="H38" s="7" t="s">
        <v>47</v>
      </c>
      <c r="I38" s="7" t="s">
        <v>48</v>
      </c>
      <c r="J38" s="7" t="s">
        <v>27</v>
      </c>
      <c r="K38" s="7" t="s">
        <v>28</v>
      </c>
      <c r="L38" s="7" t="s">
        <v>108</v>
      </c>
      <c r="M38" s="7" t="s">
        <v>109</v>
      </c>
      <c r="N38" s="7" t="s">
        <v>51</v>
      </c>
      <c r="O38" s="11">
        <v>5</v>
      </c>
      <c r="P38" s="11"/>
      <c r="Q38" s="11"/>
      <c r="R38" s="11">
        <v>5</v>
      </c>
    </row>
    <row r="39" spans="1:18" ht="96" customHeight="1">
      <c r="A39" s="7" t="s">
        <v>94</v>
      </c>
      <c r="B39" s="7" t="s">
        <v>95</v>
      </c>
      <c r="C39" s="7" t="s">
        <v>96</v>
      </c>
      <c r="D39" s="7" t="s">
        <v>97</v>
      </c>
      <c r="E39" s="7" t="s">
        <v>98</v>
      </c>
      <c r="F39" s="7" t="s">
        <v>99</v>
      </c>
      <c r="G39" s="7" t="s">
        <v>46</v>
      </c>
      <c r="H39" s="7" t="s">
        <v>47</v>
      </c>
      <c r="I39" s="7" t="s">
        <v>48</v>
      </c>
      <c r="J39" s="7" t="s">
        <v>32</v>
      </c>
      <c r="K39" s="7" t="s">
        <v>33</v>
      </c>
      <c r="L39" s="7" t="s">
        <v>110</v>
      </c>
      <c r="M39" s="7" t="s">
        <v>109</v>
      </c>
      <c r="N39" s="7" t="s">
        <v>51</v>
      </c>
      <c r="O39" s="11">
        <v>4.5</v>
      </c>
      <c r="P39" s="11"/>
      <c r="Q39" s="11"/>
      <c r="R39" s="11">
        <v>4</v>
      </c>
    </row>
    <row r="40" spans="1:18" ht="96" customHeight="1">
      <c r="A40" s="7" t="s">
        <v>94</v>
      </c>
      <c r="B40" s="7" t="s">
        <v>95</v>
      </c>
      <c r="C40" s="7" t="s">
        <v>96</v>
      </c>
      <c r="D40" s="7" t="s">
        <v>97</v>
      </c>
      <c r="E40" s="7" t="s">
        <v>98</v>
      </c>
      <c r="F40" s="7" t="s">
        <v>99</v>
      </c>
      <c r="G40" s="7" t="s">
        <v>46</v>
      </c>
      <c r="H40" s="7" t="s">
        <v>47</v>
      </c>
      <c r="I40" s="7" t="s">
        <v>48</v>
      </c>
      <c r="J40" s="7" t="s">
        <v>35</v>
      </c>
      <c r="K40" s="7" t="s">
        <v>36</v>
      </c>
      <c r="L40" s="7" t="s">
        <v>111</v>
      </c>
      <c r="M40" s="7" t="s">
        <v>109</v>
      </c>
      <c r="N40" s="7" t="s">
        <v>51</v>
      </c>
      <c r="O40" s="11">
        <v>4.5</v>
      </c>
      <c r="P40" s="11"/>
      <c r="Q40" s="11"/>
      <c r="R40" s="11">
        <v>4</v>
      </c>
    </row>
    <row r="41" spans="1:18" ht="96" customHeight="1">
      <c r="A41" s="7" t="s">
        <v>94</v>
      </c>
      <c r="B41" s="7" t="s">
        <v>95</v>
      </c>
      <c r="C41" s="7" t="s">
        <v>96</v>
      </c>
      <c r="D41" s="7" t="s">
        <v>97</v>
      </c>
      <c r="E41" s="7" t="s">
        <v>98</v>
      </c>
      <c r="F41" s="7" t="s">
        <v>99</v>
      </c>
      <c r="G41" s="7" t="s">
        <v>54</v>
      </c>
      <c r="H41" s="7" t="s">
        <v>55</v>
      </c>
      <c r="I41" s="7" t="s">
        <v>56</v>
      </c>
      <c r="J41" s="7" t="s">
        <v>27</v>
      </c>
      <c r="K41" s="7" t="s">
        <v>28</v>
      </c>
      <c r="L41" s="7" t="s">
        <v>112</v>
      </c>
      <c r="M41" s="7" t="s">
        <v>113</v>
      </c>
      <c r="N41" s="7" t="s">
        <v>59</v>
      </c>
      <c r="O41" s="11">
        <v>4</v>
      </c>
      <c r="P41" s="11"/>
      <c r="Q41" s="11"/>
      <c r="R41" s="11">
        <v>4</v>
      </c>
    </row>
    <row r="42" spans="1:18" ht="96" customHeight="1">
      <c r="A42" s="7" t="s">
        <v>94</v>
      </c>
      <c r="B42" s="7" t="s">
        <v>95</v>
      </c>
      <c r="C42" s="7" t="s">
        <v>96</v>
      </c>
      <c r="D42" s="7" t="s">
        <v>97</v>
      </c>
      <c r="E42" s="7" t="s">
        <v>98</v>
      </c>
      <c r="F42" s="7" t="s">
        <v>99</v>
      </c>
      <c r="G42" s="7" t="s">
        <v>54</v>
      </c>
      <c r="H42" s="7" t="s">
        <v>55</v>
      </c>
      <c r="I42" s="7" t="s">
        <v>56</v>
      </c>
      <c r="J42" s="7" t="s">
        <v>32</v>
      </c>
      <c r="K42" s="7" t="s">
        <v>33</v>
      </c>
      <c r="L42" s="7" t="s">
        <v>114</v>
      </c>
      <c r="M42" s="7" t="s">
        <v>113</v>
      </c>
      <c r="N42" s="7" t="s">
        <v>59</v>
      </c>
      <c r="O42" s="11">
        <v>5</v>
      </c>
      <c r="P42" s="11"/>
      <c r="Q42" s="11"/>
      <c r="R42" s="11">
        <v>5</v>
      </c>
    </row>
    <row r="43" spans="1:18" ht="96" customHeight="1">
      <c r="A43" s="7" t="s">
        <v>94</v>
      </c>
      <c r="B43" s="7" t="s">
        <v>95</v>
      </c>
      <c r="C43" s="7" t="s">
        <v>96</v>
      </c>
      <c r="D43" s="7" t="s">
        <v>97</v>
      </c>
      <c r="E43" s="7" t="s">
        <v>98</v>
      </c>
      <c r="F43" s="7" t="s">
        <v>99</v>
      </c>
      <c r="G43" s="7" t="s">
        <v>54</v>
      </c>
      <c r="H43" s="7" t="s">
        <v>55</v>
      </c>
      <c r="I43" s="7" t="s">
        <v>56</v>
      </c>
      <c r="J43" s="7" t="s">
        <v>35</v>
      </c>
      <c r="K43" s="7" t="s">
        <v>36</v>
      </c>
      <c r="L43" s="7" t="s">
        <v>115</v>
      </c>
      <c r="M43" s="7" t="s">
        <v>113</v>
      </c>
      <c r="N43" s="7" t="s">
        <v>59</v>
      </c>
      <c r="O43" s="11">
        <v>5</v>
      </c>
      <c r="P43" s="11"/>
      <c r="Q43" s="11"/>
      <c r="R43" s="11">
        <v>5</v>
      </c>
    </row>
    <row r="44" spans="1:18" ht="96" customHeight="1">
      <c r="A44" s="7" t="s">
        <v>94</v>
      </c>
      <c r="B44" s="7" t="s">
        <v>95</v>
      </c>
      <c r="C44" s="7" t="s">
        <v>96</v>
      </c>
      <c r="D44" s="7" t="s">
        <v>97</v>
      </c>
      <c r="E44" s="7" t="s">
        <v>98</v>
      </c>
      <c r="F44" s="7" t="s">
        <v>99</v>
      </c>
      <c r="G44" s="7" t="s">
        <v>62</v>
      </c>
      <c r="H44" s="7" t="s">
        <v>63</v>
      </c>
      <c r="I44" s="7" t="s">
        <v>64</v>
      </c>
      <c r="J44" s="7" t="s">
        <v>27</v>
      </c>
      <c r="K44" s="7" t="s">
        <v>28</v>
      </c>
      <c r="L44" s="7" t="s">
        <v>116</v>
      </c>
      <c r="M44" s="7" t="s">
        <v>117</v>
      </c>
      <c r="N44" s="7" t="s">
        <v>67</v>
      </c>
      <c r="O44" s="11">
        <v>4.5</v>
      </c>
      <c r="P44" s="11"/>
      <c r="Q44" s="11"/>
      <c r="R44" s="11">
        <v>4</v>
      </c>
    </row>
    <row r="45" spans="1:18" ht="96" customHeight="1">
      <c r="A45" s="7" t="s">
        <v>94</v>
      </c>
      <c r="B45" s="7" t="s">
        <v>95</v>
      </c>
      <c r="C45" s="7" t="s">
        <v>96</v>
      </c>
      <c r="D45" s="7" t="s">
        <v>97</v>
      </c>
      <c r="E45" s="7" t="s">
        <v>98</v>
      </c>
      <c r="F45" s="7" t="s">
        <v>99</v>
      </c>
      <c r="G45" s="7" t="s">
        <v>62</v>
      </c>
      <c r="H45" s="7" t="s">
        <v>63</v>
      </c>
      <c r="I45" s="7" t="s">
        <v>64</v>
      </c>
      <c r="J45" s="7" t="s">
        <v>32</v>
      </c>
      <c r="K45" s="7" t="s">
        <v>33</v>
      </c>
      <c r="L45" s="7" t="s">
        <v>118</v>
      </c>
      <c r="M45" s="7" t="s">
        <v>117</v>
      </c>
      <c r="N45" s="7" t="s">
        <v>67</v>
      </c>
      <c r="O45" s="11">
        <v>3.5</v>
      </c>
      <c r="P45" s="11"/>
      <c r="Q45" s="11"/>
      <c r="R45" s="11">
        <v>4</v>
      </c>
    </row>
    <row r="46" spans="1:18" ht="96" customHeight="1">
      <c r="A46" s="7" t="s">
        <v>94</v>
      </c>
      <c r="B46" s="7" t="s">
        <v>95</v>
      </c>
      <c r="C46" s="7" t="s">
        <v>96</v>
      </c>
      <c r="D46" s="7" t="s">
        <v>97</v>
      </c>
      <c r="E46" s="7" t="s">
        <v>98</v>
      </c>
      <c r="F46" s="7" t="s">
        <v>99</v>
      </c>
      <c r="G46" s="7" t="s">
        <v>62</v>
      </c>
      <c r="H46" s="7" t="s">
        <v>63</v>
      </c>
      <c r="I46" s="7" t="s">
        <v>64</v>
      </c>
      <c r="J46" s="7" t="s">
        <v>35</v>
      </c>
      <c r="K46" s="7" t="s">
        <v>36</v>
      </c>
      <c r="L46" s="7" t="s">
        <v>119</v>
      </c>
      <c r="M46" s="7" t="s">
        <v>117</v>
      </c>
      <c r="N46" s="7" t="s">
        <v>67</v>
      </c>
      <c r="O46" s="11">
        <v>4</v>
      </c>
      <c r="P46" s="11"/>
      <c r="Q46" s="11"/>
      <c r="R46" s="11">
        <v>3</v>
      </c>
    </row>
    <row r="47" spans="1:18" ht="96" customHeight="1">
      <c r="A47" s="7" t="s">
        <v>120</v>
      </c>
      <c r="B47" s="7" t="s">
        <v>121</v>
      </c>
      <c r="C47" s="7" t="s">
        <v>122</v>
      </c>
      <c r="D47" s="7" t="s">
        <v>123</v>
      </c>
      <c r="E47" s="7" t="s">
        <v>124</v>
      </c>
      <c r="F47" s="7" t="s">
        <v>125</v>
      </c>
      <c r="G47" s="7" t="s">
        <v>24</v>
      </c>
      <c r="H47" s="7" t="s">
        <v>25</v>
      </c>
      <c r="I47" s="7" t="s">
        <v>26</v>
      </c>
      <c r="J47" s="7" t="s">
        <v>27</v>
      </c>
      <c r="K47" s="7" t="s">
        <v>28</v>
      </c>
      <c r="L47" s="7" t="s">
        <v>126</v>
      </c>
      <c r="M47" s="7" t="s">
        <v>127</v>
      </c>
      <c r="N47" s="7" t="s">
        <v>31</v>
      </c>
      <c r="O47" s="11">
        <v>5</v>
      </c>
      <c r="P47" s="11"/>
      <c r="Q47" s="11"/>
      <c r="R47" s="11">
        <v>5</v>
      </c>
    </row>
    <row r="48" spans="1:18" ht="96" customHeight="1">
      <c r="A48" s="7" t="s">
        <v>120</v>
      </c>
      <c r="B48" s="7" t="s">
        <v>121</v>
      </c>
      <c r="C48" s="7" t="s">
        <v>122</v>
      </c>
      <c r="D48" s="7" t="s">
        <v>123</v>
      </c>
      <c r="E48" s="7" t="s">
        <v>124</v>
      </c>
      <c r="F48" s="7" t="s">
        <v>125</v>
      </c>
      <c r="G48" s="7" t="s">
        <v>24</v>
      </c>
      <c r="H48" s="7" t="s">
        <v>25</v>
      </c>
      <c r="I48" s="7" t="s">
        <v>26</v>
      </c>
      <c r="J48" s="7" t="s">
        <v>32</v>
      </c>
      <c r="K48" s="7" t="s">
        <v>33</v>
      </c>
      <c r="L48" s="7" t="s">
        <v>128</v>
      </c>
      <c r="M48" s="7" t="s">
        <v>127</v>
      </c>
      <c r="N48" s="7" t="s">
        <v>31</v>
      </c>
      <c r="O48" s="11">
        <v>5</v>
      </c>
      <c r="P48" s="11"/>
      <c r="Q48" s="11"/>
      <c r="R48" s="11">
        <v>5</v>
      </c>
    </row>
    <row r="49" spans="1:18" ht="96" customHeight="1">
      <c r="A49" s="7" t="s">
        <v>120</v>
      </c>
      <c r="B49" s="7" t="s">
        <v>121</v>
      </c>
      <c r="C49" s="7" t="s">
        <v>122</v>
      </c>
      <c r="D49" s="7" t="s">
        <v>123</v>
      </c>
      <c r="E49" s="7" t="s">
        <v>124</v>
      </c>
      <c r="F49" s="7" t="s">
        <v>125</v>
      </c>
      <c r="G49" s="7" t="s">
        <v>24</v>
      </c>
      <c r="H49" s="7" t="s">
        <v>25</v>
      </c>
      <c r="I49" s="7" t="s">
        <v>26</v>
      </c>
      <c r="J49" s="7" t="s">
        <v>35</v>
      </c>
      <c r="K49" s="7" t="s">
        <v>36</v>
      </c>
      <c r="L49" s="7" t="s">
        <v>129</v>
      </c>
      <c r="M49" s="7" t="s">
        <v>127</v>
      </c>
      <c r="N49" s="7" t="s">
        <v>31</v>
      </c>
      <c r="O49" s="11">
        <v>4.5</v>
      </c>
      <c r="P49" s="11"/>
      <c r="Q49" s="11"/>
      <c r="R49" s="11">
        <v>5</v>
      </c>
    </row>
    <row r="50" spans="1:18" ht="96" customHeight="1">
      <c r="A50" s="7" t="s">
        <v>120</v>
      </c>
      <c r="B50" s="7" t="s">
        <v>121</v>
      </c>
      <c r="C50" s="7" t="s">
        <v>122</v>
      </c>
      <c r="D50" s="7" t="s">
        <v>123</v>
      </c>
      <c r="E50" s="7" t="s">
        <v>124</v>
      </c>
      <c r="F50" s="7" t="s">
        <v>125</v>
      </c>
      <c r="G50" s="7" t="s">
        <v>38</v>
      </c>
      <c r="H50" s="7" t="s">
        <v>39</v>
      </c>
      <c r="I50" s="7" t="s">
        <v>40</v>
      </c>
      <c r="J50" s="7" t="s">
        <v>27</v>
      </c>
      <c r="K50" s="7" t="s">
        <v>28</v>
      </c>
      <c r="L50" s="7" t="s">
        <v>130</v>
      </c>
      <c r="M50" s="7" t="s">
        <v>131</v>
      </c>
      <c r="N50" s="7" t="s">
        <v>43</v>
      </c>
      <c r="O50" s="11">
        <v>4.5</v>
      </c>
      <c r="P50" s="11"/>
      <c r="Q50" s="11"/>
      <c r="R50" s="11">
        <v>4</v>
      </c>
    </row>
    <row r="51" spans="1:18" ht="96" customHeight="1">
      <c r="A51" s="7" t="s">
        <v>120</v>
      </c>
      <c r="B51" s="7" t="s">
        <v>121</v>
      </c>
      <c r="C51" s="7" t="s">
        <v>122</v>
      </c>
      <c r="D51" s="7" t="s">
        <v>123</v>
      </c>
      <c r="E51" s="7" t="s">
        <v>124</v>
      </c>
      <c r="F51" s="7" t="s">
        <v>125</v>
      </c>
      <c r="G51" s="7" t="s">
        <v>38</v>
      </c>
      <c r="H51" s="7" t="s">
        <v>39</v>
      </c>
      <c r="I51" s="7" t="s">
        <v>40</v>
      </c>
      <c r="J51" s="7" t="s">
        <v>32</v>
      </c>
      <c r="K51" s="7" t="s">
        <v>33</v>
      </c>
      <c r="L51" s="7" t="s">
        <v>132</v>
      </c>
      <c r="M51" s="7" t="s">
        <v>131</v>
      </c>
      <c r="N51" s="7" t="s">
        <v>43</v>
      </c>
      <c r="O51" s="11">
        <v>5</v>
      </c>
      <c r="P51" s="11"/>
      <c r="Q51" s="11"/>
      <c r="R51" s="11">
        <v>4</v>
      </c>
    </row>
    <row r="52" spans="1:18" ht="96" customHeight="1">
      <c r="A52" s="7" t="s">
        <v>120</v>
      </c>
      <c r="B52" s="7" t="s">
        <v>121</v>
      </c>
      <c r="C52" s="7" t="s">
        <v>122</v>
      </c>
      <c r="D52" s="7" t="s">
        <v>123</v>
      </c>
      <c r="E52" s="7" t="s">
        <v>124</v>
      </c>
      <c r="F52" s="7" t="s">
        <v>125</v>
      </c>
      <c r="G52" s="7" t="s">
        <v>38</v>
      </c>
      <c r="H52" s="7" t="s">
        <v>39</v>
      </c>
      <c r="I52" s="7" t="s">
        <v>40</v>
      </c>
      <c r="J52" s="7" t="s">
        <v>35</v>
      </c>
      <c r="K52" s="7" t="s">
        <v>36</v>
      </c>
      <c r="L52" s="7" t="s">
        <v>133</v>
      </c>
      <c r="M52" s="7" t="s">
        <v>131</v>
      </c>
      <c r="N52" s="7" t="s">
        <v>43</v>
      </c>
      <c r="O52" s="11">
        <v>4</v>
      </c>
      <c r="P52" s="11"/>
      <c r="Q52" s="11"/>
      <c r="R52" s="11">
        <v>4</v>
      </c>
    </row>
    <row r="53" spans="1:18" ht="96" customHeight="1">
      <c r="A53" s="7" t="s">
        <v>120</v>
      </c>
      <c r="B53" s="7" t="s">
        <v>121</v>
      </c>
      <c r="C53" s="7" t="s">
        <v>122</v>
      </c>
      <c r="D53" s="7" t="s">
        <v>123</v>
      </c>
      <c r="E53" s="7" t="s">
        <v>124</v>
      </c>
      <c r="F53" s="7" t="s">
        <v>125</v>
      </c>
      <c r="G53" s="7" t="s">
        <v>46</v>
      </c>
      <c r="H53" s="7" t="s">
        <v>47</v>
      </c>
      <c r="I53" s="7" t="s">
        <v>48</v>
      </c>
      <c r="J53" s="7" t="s">
        <v>27</v>
      </c>
      <c r="K53" s="7" t="s">
        <v>28</v>
      </c>
      <c r="L53" s="7" t="s">
        <v>134</v>
      </c>
      <c r="M53" s="7" t="s">
        <v>135</v>
      </c>
      <c r="N53" s="7" t="s">
        <v>51</v>
      </c>
      <c r="O53" s="11">
        <v>4.5</v>
      </c>
      <c r="P53" s="11"/>
      <c r="Q53" s="11"/>
      <c r="R53" s="11">
        <v>5</v>
      </c>
    </row>
    <row r="54" spans="1:18" ht="96" customHeight="1">
      <c r="A54" s="7" t="s">
        <v>120</v>
      </c>
      <c r="B54" s="7" t="s">
        <v>121</v>
      </c>
      <c r="C54" s="7" t="s">
        <v>122</v>
      </c>
      <c r="D54" s="7" t="s">
        <v>123</v>
      </c>
      <c r="E54" s="7" t="s">
        <v>124</v>
      </c>
      <c r="F54" s="7" t="s">
        <v>125</v>
      </c>
      <c r="G54" s="7" t="s">
        <v>46</v>
      </c>
      <c r="H54" s="7" t="s">
        <v>47</v>
      </c>
      <c r="I54" s="7" t="s">
        <v>48</v>
      </c>
      <c r="J54" s="7" t="s">
        <v>32</v>
      </c>
      <c r="K54" s="7" t="s">
        <v>33</v>
      </c>
      <c r="L54" s="7" t="s">
        <v>136</v>
      </c>
      <c r="M54" s="7" t="s">
        <v>135</v>
      </c>
      <c r="N54" s="7" t="s">
        <v>51</v>
      </c>
      <c r="O54" s="11">
        <v>4.5</v>
      </c>
      <c r="P54" s="11"/>
      <c r="Q54" s="11"/>
      <c r="R54" s="11">
        <v>4</v>
      </c>
    </row>
    <row r="55" spans="1:18" ht="96" customHeight="1">
      <c r="A55" s="7" t="s">
        <v>120</v>
      </c>
      <c r="B55" s="7" t="s">
        <v>121</v>
      </c>
      <c r="C55" s="7" t="s">
        <v>122</v>
      </c>
      <c r="D55" s="7" t="s">
        <v>123</v>
      </c>
      <c r="E55" s="7" t="s">
        <v>124</v>
      </c>
      <c r="F55" s="7" t="s">
        <v>125</v>
      </c>
      <c r="G55" s="7" t="s">
        <v>46</v>
      </c>
      <c r="H55" s="7" t="s">
        <v>47</v>
      </c>
      <c r="I55" s="7" t="s">
        <v>48</v>
      </c>
      <c r="J55" s="7" t="s">
        <v>35</v>
      </c>
      <c r="K55" s="7" t="s">
        <v>36</v>
      </c>
      <c r="L55" s="7" t="s">
        <v>137</v>
      </c>
      <c r="M55" s="7" t="s">
        <v>135</v>
      </c>
      <c r="N55" s="7" t="s">
        <v>51</v>
      </c>
      <c r="O55" s="11">
        <v>3.5</v>
      </c>
      <c r="P55" s="11"/>
      <c r="Q55" s="11"/>
      <c r="R55" s="11">
        <v>3</v>
      </c>
    </row>
    <row r="56" spans="1:18" ht="96" customHeight="1">
      <c r="A56" s="7" t="s">
        <v>120</v>
      </c>
      <c r="B56" s="7" t="s">
        <v>121</v>
      </c>
      <c r="C56" s="7" t="s">
        <v>122</v>
      </c>
      <c r="D56" s="7" t="s">
        <v>123</v>
      </c>
      <c r="E56" s="7" t="s">
        <v>124</v>
      </c>
      <c r="F56" s="7" t="s">
        <v>125</v>
      </c>
      <c r="G56" s="7" t="s">
        <v>54</v>
      </c>
      <c r="H56" s="7" t="s">
        <v>55</v>
      </c>
      <c r="I56" s="7" t="s">
        <v>56</v>
      </c>
      <c r="J56" s="7" t="s">
        <v>27</v>
      </c>
      <c r="K56" s="7" t="s">
        <v>28</v>
      </c>
      <c r="L56" s="7" t="s">
        <v>138</v>
      </c>
      <c r="M56" s="7" t="s">
        <v>139</v>
      </c>
      <c r="N56" s="7" t="s">
        <v>59</v>
      </c>
      <c r="O56" s="11">
        <v>4.5</v>
      </c>
      <c r="P56" s="11"/>
      <c r="Q56" s="11"/>
      <c r="R56" s="11">
        <v>5</v>
      </c>
    </row>
    <row r="57" spans="1:18" ht="96" customHeight="1">
      <c r="A57" s="7" t="s">
        <v>120</v>
      </c>
      <c r="B57" s="7" t="s">
        <v>121</v>
      </c>
      <c r="C57" s="7" t="s">
        <v>122</v>
      </c>
      <c r="D57" s="7" t="s">
        <v>123</v>
      </c>
      <c r="E57" s="7" t="s">
        <v>124</v>
      </c>
      <c r="F57" s="7" t="s">
        <v>125</v>
      </c>
      <c r="G57" s="7" t="s">
        <v>54</v>
      </c>
      <c r="H57" s="7" t="s">
        <v>55</v>
      </c>
      <c r="I57" s="7" t="s">
        <v>56</v>
      </c>
      <c r="J57" s="7" t="s">
        <v>32</v>
      </c>
      <c r="K57" s="7" t="s">
        <v>33</v>
      </c>
      <c r="L57" s="7" t="s">
        <v>140</v>
      </c>
      <c r="M57" s="7" t="s">
        <v>139</v>
      </c>
      <c r="N57" s="7" t="s">
        <v>59</v>
      </c>
      <c r="O57" s="11">
        <v>5</v>
      </c>
      <c r="P57" s="11"/>
      <c r="Q57" s="11"/>
      <c r="R57" s="11">
        <v>5</v>
      </c>
    </row>
    <row r="58" spans="1:18" ht="96" customHeight="1">
      <c r="A58" s="7" t="s">
        <v>120</v>
      </c>
      <c r="B58" s="7" t="s">
        <v>121</v>
      </c>
      <c r="C58" s="7" t="s">
        <v>122</v>
      </c>
      <c r="D58" s="7" t="s">
        <v>123</v>
      </c>
      <c r="E58" s="7" t="s">
        <v>124</v>
      </c>
      <c r="F58" s="7" t="s">
        <v>125</v>
      </c>
      <c r="G58" s="7" t="s">
        <v>54</v>
      </c>
      <c r="H58" s="7" t="s">
        <v>55</v>
      </c>
      <c r="I58" s="7" t="s">
        <v>56</v>
      </c>
      <c r="J58" s="7" t="s">
        <v>35</v>
      </c>
      <c r="K58" s="7" t="s">
        <v>36</v>
      </c>
      <c r="L58" s="7" t="s">
        <v>141</v>
      </c>
      <c r="M58" s="7" t="s">
        <v>139</v>
      </c>
      <c r="N58" s="7" t="s">
        <v>59</v>
      </c>
      <c r="O58" s="11">
        <v>4.5</v>
      </c>
      <c r="P58" s="11"/>
      <c r="Q58" s="11"/>
      <c r="R58" s="11">
        <v>5</v>
      </c>
    </row>
    <row r="59" spans="1:18" ht="96" customHeight="1">
      <c r="A59" s="7" t="s">
        <v>120</v>
      </c>
      <c r="B59" s="7" t="s">
        <v>121</v>
      </c>
      <c r="C59" s="7" t="s">
        <v>122</v>
      </c>
      <c r="D59" s="7" t="s">
        <v>123</v>
      </c>
      <c r="E59" s="7" t="s">
        <v>124</v>
      </c>
      <c r="F59" s="7" t="s">
        <v>125</v>
      </c>
      <c r="G59" s="7" t="s">
        <v>62</v>
      </c>
      <c r="H59" s="7" t="s">
        <v>63</v>
      </c>
      <c r="I59" s="7" t="s">
        <v>64</v>
      </c>
      <c r="J59" s="7" t="s">
        <v>27</v>
      </c>
      <c r="K59" s="7" t="s">
        <v>28</v>
      </c>
      <c r="L59" s="7" t="s">
        <v>142</v>
      </c>
      <c r="M59" s="7" t="s">
        <v>143</v>
      </c>
      <c r="N59" s="7" t="s">
        <v>67</v>
      </c>
      <c r="O59" s="11">
        <v>4.5</v>
      </c>
      <c r="P59" s="11"/>
      <c r="Q59" s="11"/>
      <c r="R59" s="11">
        <v>4</v>
      </c>
    </row>
    <row r="60" spans="1:18" ht="96" customHeight="1">
      <c r="A60" s="7" t="s">
        <v>120</v>
      </c>
      <c r="B60" s="7" t="s">
        <v>121</v>
      </c>
      <c r="C60" s="7" t="s">
        <v>122</v>
      </c>
      <c r="D60" s="7" t="s">
        <v>123</v>
      </c>
      <c r="E60" s="7" t="s">
        <v>124</v>
      </c>
      <c r="F60" s="7" t="s">
        <v>125</v>
      </c>
      <c r="G60" s="7" t="s">
        <v>62</v>
      </c>
      <c r="H60" s="7" t="s">
        <v>63</v>
      </c>
      <c r="I60" s="7" t="s">
        <v>64</v>
      </c>
      <c r="J60" s="7" t="s">
        <v>32</v>
      </c>
      <c r="K60" s="7" t="s">
        <v>33</v>
      </c>
      <c r="L60" s="7" t="s">
        <v>144</v>
      </c>
      <c r="M60" s="7" t="s">
        <v>143</v>
      </c>
      <c r="N60" s="7" t="s">
        <v>67</v>
      </c>
      <c r="O60" s="11">
        <v>4.5</v>
      </c>
      <c r="P60" s="11"/>
      <c r="Q60" s="11"/>
      <c r="R60" s="11">
        <v>4</v>
      </c>
    </row>
    <row r="61" spans="1:18" ht="96" customHeight="1">
      <c r="A61" s="7" t="s">
        <v>120</v>
      </c>
      <c r="B61" s="7" t="s">
        <v>121</v>
      </c>
      <c r="C61" s="7" t="s">
        <v>122</v>
      </c>
      <c r="D61" s="7" t="s">
        <v>123</v>
      </c>
      <c r="E61" s="7" t="s">
        <v>124</v>
      </c>
      <c r="F61" s="7" t="s">
        <v>125</v>
      </c>
      <c r="G61" s="7" t="s">
        <v>62</v>
      </c>
      <c r="H61" s="7" t="s">
        <v>63</v>
      </c>
      <c r="I61" s="7" t="s">
        <v>64</v>
      </c>
      <c r="J61" s="7" t="s">
        <v>35</v>
      </c>
      <c r="K61" s="7" t="s">
        <v>36</v>
      </c>
      <c r="L61" s="7" t="s">
        <v>145</v>
      </c>
      <c r="M61" s="7" t="s">
        <v>143</v>
      </c>
      <c r="N61" s="7" t="s">
        <v>67</v>
      </c>
      <c r="O61" s="11">
        <v>5</v>
      </c>
      <c r="P61" s="11"/>
      <c r="Q61" s="11"/>
      <c r="R61" s="11">
        <v>5</v>
      </c>
    </row>
    <row r="62" spans="1:18" ht="96" customHeight="1">
      <c r="A62" s="7" t="s">
        <v>146</v>
      </c>
      <c r="B62" s="7" t="s">
        <v>121</v>
      </c>
      <c r="C62" s="7" t="s">
        <v>147</v>
      </c>
      <c r="D62" s="7" t="s">
        <v>148</v>
      </c>
      <c r="E62" s="7" t="s">
        <v>149</v>
      </c>
      <c r="F62" s="7" t="s">
        <v>150</v>
      </c>
      <c r="G62" s="7" t="s">
        <v>24</v>
      </c>
      <c r="H62" s="7" t="s">
        <v>25</v>
      </c>
      <c r="I62" s="7" t="s">
        <v>26</v>
      </c>
      <c r="J62" s="7" t="s">
        <v>27</v>
      </c>
      <c r="K62" s="7" t="s">
        <v>28</v>
      </c>
      <c r="L62" s="7" t="s">
        <v>151</v>
      </c>
      <c r="M62" s="7" t="s">
        <v>152</v>
      </c>
      <c r="N62" s="7" t="s">
        <v>31</v>
      </c>
      <c r="O62" s="11">
        <v>4</v>
      </c>
      <c r="P62" s="11"/>
      <c r="Q62" s="11"/>
      <c r="R62" s="11">
        <v>4</v>
      </c>
    </row>
    <row r="63" spans="1:18" ht="96" customHeight="1">
      <c r="A63" s="7" t="s">
        <v>146</v>
      </c>
      <c r="B63" s="7" t="s">
        <v>121</v>
      </c>
      <c r="C63" s="7" t="s">
        <v>147</v>
      </c>
      <c r="D63" s="7" t="s">
        <v>148</v>
      </c>
      <c r="E63" s="7" t="s">
        <v>149</v>
      </c>
      <c r="F63" s="7" t="s">
        <v>150</v>
      </c>
      <c r="G63" s="7" t="s">
        <v>24</v>
      </c>
      <c r="H63" s="7" t="s">
        <v>25</v>
      </c>
      <c r="I63" s="7" t="s">
        <v>26</v>
      </c>
      <c r="J63" s="7" t="s">
        <v>32</v>
      </c>
      <c r="K63" s="7" t="s">
        <v>33</v>
      </c>
      <c r="L63" s="7" t="s">
        <v>153</v>
      </c>
      <c r="M63" s="7" t="s">
        <v>152</v>
      </c>
      <c r="N63" s="7" t="s">
        <v>31</v>
      </c>
      <c r="O63" s="11">
        <v>4.5</v>
      </c>
      <c r="P63" s="11"/>
      <c r="Q63" s="11"/>
      <c r="R63" s="11">
        <v>5</v>
      </c>
    </row>
    <row r="64" spans="1:18" ht="96" customHeight="1">
      <c r="A64" s="7" t="s">
        <v>146</v>
      </c>
      <c r="B64" s="7" t="s">
        <v>121</v>
      </c>
      <c r="C64" s="7" t="s">
        <v>147</v>
      </c>
      <c r="D64" s="7" t="s">
        <v>148</v>
      </c>
      <c r="E64" s="7" t="s">
        <v>149</v>
      </c>
      <c r="F64" s="7" t="s">
        <v>150</v>
      </c>
      <c r="G64" s="7" t="s">
        <v>24</v>
      </c>
      <c r="H64" s="7" t="s">
        <v>25</v>
      </c>
      <c r="I64" s="7" t="s">
        <v>26</v>
      </c>
      <c r="J64" s="7" t="s">
        <v>35</v>
      </c>
      <c r="K64" s="7" t="s">
        <v>36</v>
      </c>
      <c r="L64" s="7" t="s">
        <v>154</v>
      </c>
      <c r="M64" s="7" t="s">
        <v>152</v>
      </c>
      <c r="N64" s="7" t="s">
        <v>31</v>
      </c>
      <c r="O64" s="11">
        <v>4.5</v>
      </c>
      <c r="P64" s="11"/>
      <c r="Q64" s="11"/>
      <c r="R64" s="11">
        <v>4</v>
      </c>
    </row>
    <row r="65" spans="1:18" ht="96" customHeight="1">
      <c r="A65" s="7" t="s">
        <v>146</v>
      </c>
      <c r="B65" s="7" t="s">
        <v>121</v>
      </c>
      <c r="C65" s="7" t="s">
        <v>147</v>
      </c>
      <c r="D65" s="7" t="s">
        <v>148</v>
      </c>
      <c r="E65" s="7" t="s">
        <v>149</v>
      </c>
      <c r="F65" s="7" t="s">
        <v>150</v>
      </c>
      <c r="G65" s="7" t="s">
        <v>38</v>
      </c>
      <c r="H65" s="7" t="s">
        <v>39</v>
      </c>
      <c r="I65" s="7" t="s">
        <v>40</v>
      </c>
      <c r="J65" s="7" t="s">
        <v>27</v>
      </c>
      <c r="K65" s="7" t="s">
        <v>28</v>
      </c>
      <c r="L65" s="7" t="s">
        <v>155</v>
      </c>
      <c r="M65" s="7" t="s">
        <v>156</v>
      </c>
      <c r="N65" s="7" t="s">
        <v>43</v>
      </c>
      <c r="O65" s="11">
        <v>4</v>
      </c>
      <c r="P65" s="11"/>
      <c r="Q65" s="11"/>
      <c r="R65" s="11">
        <v>4</v>
      </c>
    </row>
    <row r="66" spans="1:18" ht="96" customHeight="1">
      <c r="A66" s="7" t="s">
        <v>146</v>
      </c>
      <c r="B66" s="7" t="s">
        <v>121</v>
      </c>
      <c r="C66" s="7" t="s">
        <v>147</v>
      </c>
      <c r="D66" s="7" t="s">
        <v>148</v>
      </c>
      <c r="E66" s="7" t="s">
        <v>149</v>
      </c>
      <c r="F66" s="7" t="s">
        <v>150</v>
      </c>
      <c r="G66" s="7" t="s">
        <v>38</v>
      </c>
      <c r="H66" s="7" t="s">
        <v>39</v>
      </c>
      <c r="I66" s="7" t="s">
        <v>40</v>
      </c>
      <c r="J66" s="7" t="s">
        <v>32</v>
      </c>
      <c r="K66" s="7" t="s">
        <v>33</v>
      </c>
      <c r="L66" s="7" t="s">
        <v>157</v>
      </c>
      <c r="M66" s="7" t="s">
        <v>156</v>
      </c>
      <c r="N66" s="7" t="s">
        <v>43</v>
      </c>
      <c r="O66" s="11">
        <v>5</v>
      </c>
      <c r="P66" s="11"/>
      <c r="Q66" s="11"/>
      <c r="R66" s="11">
        <v>5</v>
      </c>
    </row>
    <row r="67" spans="1:18" ht="96" customHeight="1">
      <c r="A67" s="7" t="s">
        <v>146</v>
      </c>
      <c r="B67" s="7" t="s">
        <v>121</v>
      </c>
      <c r="C67" s="7" t="s">
        <v>147</v>
      </c>
      <c r="D67" s="7" t="s">
        <v>148</v>
      </c>
      <c r="E67" s="7" t="s">
        <v>149</v>
      </c>
      <c r="F67" s="7" t="s">
        <v>150</v>
      </c>
      <c r="G67" s="7" t="s">
        <v>38</v>
      </c>
      <c r="H67" s="7" t="s">
        <v>39</v>
      </c>
      <c r="I67" s="7" t="s">
        <v>40</v>
      </c>
      <c r="J67" s="7" t="s">
        <v>35</v>
      </c>
      <c r="K67" s="7" t="s">
        <v>36</v>
      </c>
      <c r="L67" s="7" t="s">
        <v>158</v>
      </c>
      <c r="M67" s="7" t="s">
        <v>156</v>
      </c>
      <c r="N67" s="7" t="s">
        <v>43</v>
      </c>
      <c r="O67" s="11">
        <v>5</v>
      </c>
      <c r="P67" s="11"/>
      <c r="Q67" s="11"/>
      <c r="R67" s="11">
        <v>4</v>
      </c>
    </row>
    <row r="68" spans="1:18" ht="96" customHeight="1">
      <c r="A68" s="7" t="s">
        <v>146</v>
      </c>
      <c r="B68" s="7" t="s">
        <v>121</v>
      </c>
      <c r="C68" s="7" t="s">
        <v>147</v>
      </c>
      <c r="D68" s="7" t="s">
        <v>148</v>
      </c>
      <c r="E68" s="7" t="s">
        <v>149</v>
      </c>
      <c r="F68" s="7" t="s">
        <v>150</v>
      </c>
      <c r="G68" s="7" t="s">
        <v>46</v>
      </c>
      <c r="H68" s="7" t="s">
        <v>47</v>
      </c>
      <c r="I68" s="7" t="s">
        <v>48</v>
      </c>
      <c r="J68" s="7" t="s">
        <v>27</v>
      </c>
      <c r="K68" s="7" t="s">
        <v>28</v>
      </c>
      <c r="L68" s="7" t="s">
        <v>159</v>
      </c>
      <c r="M68" s="7" t="s">
        <v>160</v>
      </c>
      <c r="N68" s="7" t="s">
        <v>51</v>
      </c>
      <c r="O68" s="11">
        <v>4.5</v>
      </c>
      <c r="P68" s="11"/>
      <c r="Q68" s="11"/>
      <c r="R68" s="11">
        <v>5</v>
      </c>
    </row>
    <row r="69" spans="1:18" ht="96" customHeight="1">
      <c r="A69" s="7" t="s">
        <v>146</v>
      </c>
      <c r="B69" s="7" t="s">
        <v>121</v>
      </c>
      <c r="C69" s="7" t="s">
        <v>147</v>
      </c>
      <c r="D69" s="7" t="s">
        <v>148</v>
      </c>
      <c r="E69" s="7" t="s">
        <v>149</v>
      </c>
      <c r="F69" s="7" t="s">
        <v>150</v>
      </c>
      <c r="G69" s="7" t="s">
        <v>46</v>
      </c>
      <c r="H69" s="7" t="s">
        <v>47</v>
      </c>
      <c r="I69" s="7" t="s">
        <v>48</v>
      </c>
      <c r="J69" s="7" t="s">
        <v>32</v>
      </c>
      <c r="K69" s="7" t="s">
        <v>33</v>
      </c>
      <c r="L69" s="7" t="s">
        <v>161</v>
      </c>
      <c r="M69" s="7" t="s">
        <v>160</v>
      </c>
      <c r="N69" s="7" t="s">
        <v>51</v>
      </c>
      <c r="O69" s="11">
        <v>4.5</v>
      </c>
      <c r="P69" s="11"/>
      <c r="Q69" s="11"/>
      <c r="R69" s="11">
        <v>5</v>
      </c>
    </row>
    <row r="70" spans="1:18" ht="96" customHeight="1">
      <c r="A70" s="7" t="s">
        <v>146</v>
      </c>
      <c r="B70" s="7" t="s">
        <v>121</v>
      </c>
      <c r="C70" s="7" t="s">
        <v>147</v>
      </c>
      <c r="D70" s="7" t="s">
        <v>148</v>
      </c>
      <c r="E70" s="7" t="s">
        <v>149</v>
      </c>
      <c r="F70" s="7" t="s">
        <v>150</v>
      </c>
      <c r="G70" s="7" t="s">
        <v>46</v>
      </c>
      <c r="H70" s="7" t="s">
        <v>47</v>
      </c>
      <c r="I70" s="7" t="s">
        <v>48</v>
      </c>
      <c r="J70" s="7" t="s">
        <v>35</v>
      </c>
      <c r="K70" s="7" t="s">
        <v>36</v>
      </c>
      <c r="L70" s="7" t="s">
        <v>162</v>
      </c>
      <c r="M70" s="7" t="s">
        <v>160</v>
      </c>
      <c r="N70" s="7" t="s">
        <v>51</v>
      </c>
      <c r="O70" s="11">
        <v>5</v>
      </c>
      <c r="P70" s="11"/>
      <c r="Q70" s="11"/>
      <c r="R70" s="11">
        <v>5</v>
      </c>
    </row>
    <row r="71" spans="1:18" ht="96" customHeight="1">
      <c r="A71" s="7" t="s">
        <v>146</v>
      </c>
      <c r="B71" s="7" t="s">
        <v>121</v>
      </c>
      <c r="C71" s="7" t="s">
        <v>147</v>
      </c>
      <c r="D71" s="7" t="s">
        <v>148</v>
      </c>
      <c r="E71" s="7" t="s">
        <v>149</v>
      </c>
      <c r="F71" s="7" t="s">
        <v>150</v>
      </c>
      <c r="G71" s="7" t="s">
        <v>54</v>
      </c>
      <c r="H71" s="7" t="s">
        <v>55</v>
      </c>
      <c r="I71" s="7" t="s">
        <v>56</v>
      </c>
      <c r="J71" s="7" t="s">
        <v>27</v>
      </c>
      <c r="K71" s="7" t="s">
        <v>28</v>
      </c>
      <c r="L71" s="7" t="s">
        <v>163</v>
      </c>
      <c r="M71" s="7" t="s">
        <v>164</v>
      </c>
      <c r="N71" s="7" t="s">
        <v>59</v>
      </c>
      <c r="O71" s="11">
        <v>5</v>
      </c>
      <c r="P71" s="11"/>
      <c r="Q71" s="11"/>
      <c r="R71" s="11">
        <v>5</v>
      </c>
    </row>
    <row r="72" spans="1:18" ht="96" customHeight="1">
      <c r="A72" s="7" t="s">
        <v>146</v>
      </c>
      <c r="B72" s="7" t="s">
        <v>121</v>
      </c>
      <c r="C72" s="7" t="s">
        <v>147</v>
      </c>
      <c r="D72" s="7" t="s">
        <v>148</v>
      </c>
      <c r="E72" s="7" t="s">
        <v>149</v>
      </c>
      <c r="F72" s="7" t="s">
        <v>150</v>
      </c>
      <c r="G72" s="7" t="s">
        <v>54</v>
      </c>
      <c r="H72" s="7" t="s">
        <v>55</v>
      </c>
      <c r="I72" s="7" t="s">
        <v>56</v>
      </c>
      <c r="J72" s="7" t="s">
        <v>32</v>
      </c>
      <c r="K72" s="7" t="s">
        <v>33</v>
      </c>
      <c r="L72" s="7" t="s">
        <v>165</v>
      </c>
      <c r="M72" s="7" t="s">
        <v>164</v>
      </c>
      <c r="N72" s="7" t="s">
        <v>59</v>
      </c>
      <c r="O72" s="11">
        <v>4.5</v>
      </c>
      <c r="P72" s="11"/>
      <c r="Q72" s="11"/>
      <c r="R72" s="11">
        <v>4</v>
      </c>
    </row>
    <row r="73" spans="1:18" ht="96" customHeight="1">
      <c r="A73" s="7" t="s">
        <v>146</v>
      </c>
      <c r="B73" s="7" t="s">
        <v>121</v>
      </c>
      <c r="C73" s="7" t="s">
        <v>147</v>
      </c>
      <c r="D73" s="7" t="s">
        <v>148</v>
      </c>
      <c r="E73" s="7" t="s">
        <v>149</v>
      </c>
      <c r="F73" s="7" t="s">
        <v>150</v>
      </c>
      <c r="G73" s="7" t="s">
        <v>54</v>
      </c>
      <c r="H73" s="7" t="s">
        <v>55</v>
      </c>
      <c r="I73" s="7" t="s">
        <v>56</v>
      </c>
      <c r="J73" s="7" t="s">
        <v>35</v>
      </c>
      <c r="K73" s="7" t="s">
        <v>36</v>
      </c>
      <c r="L73" s="7" t="s">
        <v>166</v>
      </c>
      <c r="M73" s="7" t="s">
        <v>164</v>
      </c>
      <c r="N73" s="7" t="s">
        <v>59</v>
      </c>
      <c r="O73" s="11">
        <v>4.5</v>
      </c>
      <c r="P73" s="11"/>
      <c r="Q73" s="11"/>
      <c r="R73" s="11">
        <v>4</v>
      </c>
    </row>
    <row r="74" spans="1:18" ht="96" customHeight="1">
      <c r="A74" s="7" t="s">
        <v>146</v>
      </c>
      <c r="B74" s="7" t="s">
        <v>121</v>
      </c>
      <c r="C74" s="7" t="s">
        <v>147</v>
      </c>
      <c r="D74" s="7" t="s">
        <v>148</v>
      </c>
      <c r="E74" s="7" t="s">
        <v>149</v>
      </c>
      <c r="F74" s="7" t="s">
        <v>150</v>
      </c>
      <c r="G74" s="7" t="s">
        <v>62</v>
      </c>
      <c r="H74" s="7" t="s">
        <v>63</v>
      </c>
      <c r="I74" s="7" t="s">
        <v>64</v>
      </c>
      <c r="J74" s="7" t="s">
        <v>27</v>
      </c>
      <c r="K74" s="7" t="s">
        <v>28</v>
      </c>
      <c r="L74" s="7" t="s">
        <v>167</v>
      </c>
      <c r="M74" s="7" t="s">
        <v>168</v>
      </c>
      <c r="N74" s="7" t="s">
        <v>67</v>
      </c>
      <c r="O74" s="11">
        <v>4.5</v>
      </c>
      <c r="P74" s="11"/>
      <c r="Q74" s="11"/>
      <c r="R74" s="11">
        <v>4</v>
      </c>
    </row>
    <row r="75" spans="1:18" ht="96" customHeight="1">
      <c r="A75" s="7" t="s">
        <v>146</v>
      </c>
      <c r="B75" s="7" t="s">
        <v>121</v>
      </c>
      <c r="C75" s="7" t="s">
        <v>147</v>
      </c>
      <c r="D75" s="7" t="s">
        <v>148</v>
      </c>
      <c r="E75" s="7" t="s">
        <v>149</v>
      </c>
      <c r="F75" s="7" t="s">
        <v>150</v>
      </c>
      <c r="G75" s="7" t="s">
        <v>62</v>
      </c>
      <c r="H75" s="7" t="s">
        <v>63</v>
      </c>
      <c r="I75" s="7" t="s">
        <v>64</v>
      </c>
      <c r="J75" s="7" t="s">
        <v>32</v>
      </c>
      <c r="K75" s="7" t="s">
        <v>33</v>
      </c>
      <c r="L75" s="7" t="s">
        <v>169</v>
      </c>
      <c r="M75" s="7" t="s">
        <v>168</v>
      </c>
      <c r="N75" s="7" t="s">
        <v>67</v>
      </c>
      <c r="O75" s="11">
        <v>5</v>
      </c>
      <c r="P75" s="11"/>
      <c r="Q75" s="11"/>
      <c r="R75" s="11">
        <v>5</v>
      </c>
    </row>
    <row r="76" spans="1:18" ht="96" customHeight="1">
      <c r="A76" s="7" t="s">
        <v>146</v>
      </c>
      <c r="B76" s="7" t="s">
        <v>121</v>
      </c>
      <c r="C76" s="7" t="s">
        <v>147</v>
      </c>
      <c r="D76" s="7" t="s">
        <v>148</v>
      </c>
      <c r="E76" s="7" t="s">
        <v>149</v>
      </c>
      <c r="F76" s="7" t="s">
        <v>150</v>
      </c>
      <c r="G76" s="7" t="s">
        <v>62</v>
      </c>
      <c r="H76" s="7" t="s">
        <v>63</v>
      </c>
      <c r="I76" s="7" t="s">
        <v>64</v>
      </c>
      <c r="J76" s="7" t="s">
        <v>35</v>
      </c>
      <c r="K76" s="7" t="s">
        <v>36</v>
      </c>
      <c r="L76" s="7" t="s">
        <v>170</v>
      </c>
      <c r="M76" s="7" t="s">
        <v>168</v>
      </c>
      <c r="N76" s="7" t="s">
        <v>67</v>
      </c>
      <c r="O76" s="11">
        <v>5</v>
      </c>
      <c r="P76" s="11"/>
      <c r="Q76" s="11"/>
      <c r="R76" s="11">
        <v>4</v>
      </c>
    </row>
    <row r="77" spans="1:18" ht="96" customHeight="1">
      <c r="A77" s="7" t="s">
        <v>171</v>
      </c>
      <c r="B77" s="7" t="s">
        <v>121</v>
      </c>
      <c r="C77" s="7" t="s">
        <v>172</v>
      </c>
      <c r="D77" s="7" t="s">
        <v>173</v>
      </c>
      <c r="E77" s="7" t="s">
        <v>174</v>
      </c>
      <c r="F77" s="7" t="s">
        <v>175</v>
      </c>
      <c r="G77" s="7" t="s">
        <v>24</v>
      </c>
      <c r="H77" s="7" t="s">
        <v>25</v>
      </c>
      <c r="I77" s="7" t="s">
        <v>26</v>
      </c>
      <c r="J77" s="7" t="s">
        <v>27</v>
      </c>
      <c r="K77" s="7" t="s">
        <v>28</v>
      </c>
      <c r="L77" s="7" t="s">
        <v>176</v>
      </c>
      <c r="M77" s="7" t="s">
        <v>177</v>
      </c>
      <c r="N77" s="7" t="s">
        <v>31</v>
      </c>
      <c r="O77" s="11">
        <v>5</v>
      </c>
      <c r="P77" s="11"/>
      <c r="Q77" s="11"/>
      <c r="R77" s="11">
        <v>5</v>
      </c>
    </row>
    <row r="78" spans="1:18" ht="96" customHeight="1">
      <c r="A78" s="7" t="s">
        <v>171</v>
      </c>
      <c r="B78" s="7" t="s">
        <v>121</v>
      </c>
      <c r="C78" s="7" t="s">
        <v>172</v>
      </c>
      <c r="D78" s="7" t="s">
        <v>173</v>
      </c>
      <c r="E78" s="7" t="s">
        <v>174</v>
      </c>
      <c r="F78" s="7" t="s">
        <v>175</v>
      </c>
      <c r="G78" s="7" t="s">
        <v>24</v>
      </c>
      <c r="H78" s="7" t="s">
        <v>25</v>
      </c>
      <c r="I78" s="7" t="s">
        <v>26</v>
      </c>
      <c r="J78" s="7" t="s">
        <v>32</v>
      </c>
      <c r="K78" s="7" t="s">
        <v>33</v>
      </c>
      <c r="L78" s="7" t="s">
        <v>178</v>
      </c>
      <c r="M78" s="7" t="s">
        <v>177</v>
      </c>
      <c r="N78" s="7" t="s">
        <v>31</v>
      </c>
      <c r="O78" s="11">
        <v>4.5</v>
      </c>
      <c r="P78" s="11"/>
      <c r="Q78" s="11"/>
      <c r="R78" s="11">
        <v>5</v>
      </c>
    </row>
    <row r="79" spans="1:18" ht="96" customHeight="1">
      <c r="A79" s="7" t="s">
        <v>171</v>
      </c>
      <c r="B79" s="7" t="s">
        <v>121</v>
      </c>
      <c r="C79" s="7" t="s">
        <v>172</v>
      </c>
      <c r="D79" s="7" t="s">
        <v>173</v>
      </c>
      <c r="E79" s="7" t="s">
        <v>174</v>
      </c>
      <c r="F79" s="7" t="s">
        <v>175</v>
      </c>
      <c r="G79" s="7" t="s">
        <v>24</v>
      </c>
      <c r="H79" s="7" t="s">
        <v>25</v>
      </c>
      <c r="I79" s="7" t="s">
        <v>26</v>
      </c>
      <c r="J79" s="7" t="s">
        <v>35</v>
      </c>
      <c r="K79" s="7" t="s">
        <v>36</v>
      </c>
      <c r="L79" s="7" t="s">
        <v>179</v>
      </c>
      <c r="M79" s="7" t="s">
        <v>177</v>
      </c>
      <c r="N79" s="7" t="s">
        <v>31</v>
      </c>
      <c r="O79" s="11">
        <v>5</v>
      </c>
      <c r="P79" s="11"/>
      <c r="Q79" s="11"/>
      <c r="R79" s="11">
        <v>5</v>
      </c>
    </row>
    <row r="80" spans="1:18" ht="96" customHeight="1">
      <c r="A80" s="7" t="s">
        <v>171</v>
      </c>
      <c r="B80" s="7" t="s">
        <v>121</v>
      </c>
      <c r="C80" s="7" t="s">
        <v>172</v>
      </c>
      <c r="D80" s="7" t="s">
        <v>173</v>
      </c>
      <c r="E80" s="7" t="s">
        <v>174</v>
      </c>
      <c r="F80" s="7" t="s">
        <v>175</v>
      </c>
      <c r="G80" s="7" t="s">
        <v>38</v>
      </c>
      <c r="H80" s="7" t="s">
        <v>39</v>
      </c>
      <c r="I80" s="7" t="s">
        <v>40</v>
      </c>
      <c r="J80" s="7" t="s">
        <v>27</v>
      </c>
      <c r="K80" s="7" t="s">
        <v>28</v>
      </c>
      <c r="L80" s="7" t="s">
        <v>180</v>
      </c>
      <c r="M80" s="7" t="s">
        <v>181</v>
      </c>
      <c r="N80" s="7" t="s">
        <v>43</v>
      </c>
      <c r="O80" s="11">
        <v>4.5</v>
      </c>
      <c r="P80" s="11"/>
      <c r="Q80" s="11"/>
      <c r="R80" s="11">
        <v>5</v>
      </c>
    </row>
    <row r="81" spans="1:18" ht="96" customHeight="1">
      <c r="A81" s="7" t="s">
        <v>171</v>
      </c>
      <c r="B81" s="7" t="s">
        <v>121</v>
      </c>
      <c r="C81" s="7" t="s">
        <v>172</v>
      </c>
      <c r="D81" s="7" t="s">
        <v>173</v>
      </c>
      <c r="E81" s="7" t="s">
        <v>174</v>
      </c>
      <c r="F81" s="7" t="s">
        <v>175</v>
      </c>
      <c r="G81" s="7" t="s">
        <v>38</v>
      </c>
      <c r="H81" s="7" t="s">
        <v>39</v>
      </c>
      <c r="I81" s="7" t="s">
        <v>40</v>
      </c>
      <c r="J81" s="7" t="s">
        <v>32</v>
      </c>
      <c r="K81" s="7" t="s">
        <v>33</v>
      </c>
      <c r="L81" s="7" t="s">
        <v>182</v>
      </c>
      <c r="M81" s="7" t="s">
        <v>181</v>
      </c>
      <c r="N81" s="7" t="s">
        <v>43</v>
      </c>
      <c r="O81" s="11">
        <v>4</v>
      </c>
      <c r="P81" s="11"/>
      <c r="Q81" s="11"/>
      <c r="R81" s="11">
        <v>5</v>
      </c>
    </row>
    <row r="82" spans="1:18" ht="96" customHeight="1">
      <c r="A82" s="7" t="s">
        <v>171</v>
      </c>
      <c r="B82" s="7" t="s">
        <v>121</v>
      </c>
      <c r="C82" s="7" t="s">
        <v>172</v>
      </c>
      <c r="D82" s="7" t="s">
        <v>173</v>
      </c>
      <c r="E82" s="7" t="s">
        <v>174</v>
      </c>
      <c r="F82" s="7" t="s">
        <v>175</v>
      </c>
      <c r="G82" s="7" t="s">
        <v>38</v>
      </c>
      <c r="H82" s="7" t="s">
        <v>39</v>
      </c>
      <c r="I82" s="7" t="s">
        <v>40</v>
      </c>
      <c r="J82" s="7" t="s">
        <v>35</v>
      </c>
      <c r="K82" s="7" t="s">
        <v>36</v>
      </c>
      <c r="L82" s="7" t="s">
        <v>183</v>
      </c>
      <c r="M82" s="7" t="s">
        <v>181</v>
      </c>
      <c r="N82" s="7" t="s">
        <v>43</v>
      </c>
      <c r="O82" s="11">
        <v>5</v>
      </c>
      <c r="P82" s="11"/>
      <c r="Q82" s="11"/>
      <c r="R82" s="11">
        <v>4</v>
      </c>
    </row>
    <row r="83" spans="1:18" ht="96" customHeight="1">
      <c r="A83" s="7" t="s">
        <v>171</v>
      </c>
      <c r="B83" s="7" t="s">
        <v>121</v>
      </c>
      <c r="C83" s="7" t="s">
        <v>172</v>
      </c>
      <c r="D83" s="7" t="s">
        <v>173</v>
      </c>
      <c r="E83" s="7" t="s">
        <v>174</v>
      </c>
      <c r="F83" s="7" t="s">
        <v>175</v>
      </c>
      <c r="G83" s="7" t="s">
        <v>46</v>
      </c>
      <c r="H83" s="7" t="s">
        <v>47</v>
      </c>
      <c r="I83" s="7" t="s">
        <v>48</v>
      </c>
      <c r="J83" s="7" t="s">
        <v>27</v>
      </c>
      <c r="K83" s="7" t="s">
        <v>28</v>
      </c>
      <c r="L83" s="7" t="s">
        <v>184</v>
      </c>
      <c r="M83" s="7" t="s">
        <v>185</v>
      </c>
      <c r="N83" s="7" t="s">
        <v>51</v>
      </c>
      <c r="O83" s="11">
        <v>5</v>
      </c>
      <c r="P83" s="11"/>
      <c r="Q83" s="11"/>
      <c r="R83" s="11">
        <v>5</v>
      </c>
    </row>
    <row r="84" spans="1:18" ht="96" customHeight="1">
      <c r="A84" s="7" t="s">
        <v>171</v>
      </c>
      <c r="B84" s="7" t="s">
        <v>121</v>
      </c>
      <c r="C84" s="7" t="s">
        <v>172</v>
      </c>
      <c r="D84" s="7" t="s">
        <v>173</v>
      </c>
      <c r="E84" s="7" t="s">
        <v>174</v>
      </c>
      <c r="F84" s="7" t="s">
        <v>175</v>
      </c>
      <c r="G84" s="7" t="s">
        <v>46</v>
      </c>
      <c r="H84" s="7" t="s">
        <v>47</v>
      </c>
      <c r="I84" s="7" t="s">
        <v>48</v>
      </c>
      <c r="J84" s="7" t="s">
        <v>32</v>
      </c>
      <c r="K84" s="7" t="s">
        <v>33</v>
      </c>
      <c r="L84" s="7" t="s">
        <v>186</v>
      </c>
      <c r="M84" s="7" t="s">
        <v>185</v>
      </c>
      <c r="N84" s="7" t="s">
        <v>51</v>
      </c>
      <c r="O84" s="11">
        <v>5</v>
      </c>
      <c r="P84" s="11"/>
      <c r="Q84" s="11"/>
      <c r="R84" s="11">
        <v>5</v>
      </c>
    </row>
    <row r="85" spans="1:18" ht="96" customHeight="1">
      <c r="A85" s="7" t="s">
        <v>171</v>
      </c>
      <c r="B85" s="7" t="s">
        <v>121</v>
      </c>
      <c r="C85" s="7" t="s">
        <v>172</v>
      </c>
      <c r="D85" s="7" t="s">
        <v>173</v>
      </c>
      <c r="E85" s="7" t="s">
        <v>174</v>
      </c>
      <c r="F85" s="7" t="s">
        <v>175</v>
      </c>
      <c r="G85" s="7" t="s">
        <v>46</v>
      </c>
      <c r="H85" s="7" t="s">
        <v>47</v>
      </c>
      <c r="I85" s="7" t="s">
        <v>48</v>
      </c>
      <c r="J85" s="7" t="s">
        <v>35</v>
      </c>
      <c r="K85" s="7" t="s">
        <v>36</v>
      </c>
      <c r="L85" s="7" t="s">
        <v>187</v>
      </c>
      <c r="M85" s="7" t="s">
        <v>185</v>
      </c>
      <c r="N85" s="7" t="s">
        <v>51</v>
      </c>
      <c r="O85" s="11">
        <v>3</v>
      </c>
      <c r="P85" s="11"/>
      <c r="Q85" s="11"/>
      <c r="R85" s="11">
        <v>2</v>
      </c>
    </row>
    <row r="86" spans="1:18" ht="96" customHeight="1">
      <c r="A86" s="7" t="s">
        <v>171</v>
      </c>
      <c r="B86" s="7" t="s">
        <v>121</v>
      </c>
      <c r="C86" s="7" t="s">
        <v>172</v>
      </c>
      <c r="D86" s="7" t="s">
        <v>173</v>
      </c>
      <c r="E86" s="7" t="s">
        <v>174</v>
      </c>
      <c r="F86" s="7" t="s">
        <v>175</v>
      </c>
      <c r="G86" s="7" t="s">
        <v>54</v>
      </c>
      <c r="H86" s="7" t="s">
        <v>55</v>
      </c>
      <c r="I86" s="7" t="s">
        <v>56</v>
      </c>
      <c r="J86" s="7" t="s">
        <v>27</v>
      </c>
      <c r="K86" s="7" t="s">
        <v>28</v>
      </c>
      <c r="L86" s="7" t="s">
        <v>188</v>
      </c>
      <c r="M86" s="7" t="s">
        <v>189</v>
      </c>
      <c r="N86" s="7" t="s">
        <v>59</v>
      </c>
      <c r="O86" s="11">
        <v>4.5</v>
      </c>
      <c r="P86" s="11"/>
      <c r="Q86" s="11"/>
      <c r="R86" s="11">
        <v>4</v>
      </c>
    </row>
    <row r="87" spans="1:18" ht="96" customHeight="1">
      <c r="A87" s="7" t="s">
        <v>171</v>
      </c>
      <c r="B87" s="7" t="s">
        <v>121</v>
      </c>
      <c r="C87" s="7" t="s">
        <v>172</v>
      </c>
      <c r="D87" s="7" t="s">
        <v>173</v>
      </c>
      <c r="E87" s="7" t="s">
        <v>174</v>
      </c>
      <c r="F87" s="7" t="s">
        <v>175</v>
      </c>
      <c r="G87" s="7" t="s">
        <v>54</v>
      </c>
      <c r="H87" s="7" t="s">
        <v>55</v>
      </c>
      <c r="I87" s="7" t="s">
        <v>56</v>
      </c>
      <c r="J87" s="7" t="s">
        <v>32</v>
      </c>
      <c r="K87" s="7" t="s">
        <v>33</v>
      </c>
      <c r="L87" s="7" t="s">
        <v>190</v>
      </c>
      <c r="M87" s="7" t="s">
        <v>189</v>
      </c>
      <c r="N87" s="7" t="s">
        <v>59</v>
      </c>
      <c r="O87" s="11">
        <v>5</v>
      </c>
      <c r="P87" s="11"/>
      <c r="Q87" s="11"/>
      <c r="R87" s="11">
        <v>5</v>
      </c>
    </row>
    <row r="88" spans="1:18" ht="96" customHeight="1">
      <c r="A88" s="7" t="s">
        <v>171</v>
      </c>
      <c r="B88" s="7" t="s">
        <v>121</v>
      </c>
      <c r="C88" s="7" t="s">
        <v>172</v>
      </c>
      <c r="D88" s="7" t="s">
        <v>173</v>
      </c>
      <c r="E88" s="7" t="s">
        <v>174</v>
      </c>
      <c r="F88" s="7" t="s">
        <v>175</v>
      </c>
      <c r="G88" s="7" t="s">
        <v>54</v>
      </c>
      <c r="H88" s="7" t="s">
        <v>55</v>
      </c>
      <c r="I88" s="7" t="s">
        <v>56</v>
      </c>
      <c r="J88" s="7" t="s">
        <v>35</v>
      </c>
      <c r="K88" s="7" t="s">
        <v>36</v>
      </c>
      <c r="L88" s="7" t="s">
        <v>191</v>
      </c>
      <c r="M88" s="7" t="s">
        <v>189</v>
      </c>
      <c r="N88" s="7" t="s">
        <v>59</v>
      </c>
      <c r="O88" s="11">
        <v>2.5</v>
      </c>
      <c r="P88" s="11"/>
      <c r="Q88" s="11"/>
      <c r="R88" s="11">
        <v>2</v>
      </c>
    </row>
    <row r="89" spans="1:18" ht="96" customHeight="1">
      <c r="A89" s="7" t="s">
        <v>171</v>
      </c>
      <c r="B89" s="7" t="s">
        <v>121</v>
      </c>
      <c r="C89" s="7" t="s">
        <v>172</v>
      </c>
      <c r="D89" s="7" t="s">
        <v>173</v>
      </c>
      <c r="E89" s="7" t="s">
        <v>174</v>
      </c>
      <c r="F89" s="7" t="s">
        <v>175</v>
      </c>
      <c r="G89" s="7" t="s">
        <v>62</v>
      </c>
      <c r="H89" s="7" t="s">
        <v>63</v>
      </c>
      <c r="I89" s="7" t="s">
        <v>64</v>
      </c>
      <c r="J89" s="7" t="s">
        <v>27</v>
      </c>
      <c r="K89" s="7" t="s">
        <v>28</v>
      </c>
      <c r="L89" s="7" t="s">
        <v>192</v>
      </c>
      <c r="M89" s="7" t="s">
        <v>193</v>
      </c>
      <c r="N89" s="7" t="s">
        <v>67</v>
      </c>
      <c r="O89" s="11">
        <v>5</v>
      </c>
      <c r="P89" s="11"/>
      <c r="Q89" s="11"/>
      <c r="R89" s="11">
        <v>5</v>
      </c>
    </row>
    <row r="90" spans="1:18" ht="96" customHeight="1">
      <c r="A90" s="7" t="s">
        <v>171</v>
      </c>
      <c r="B90" s="7" t="s">
        <v>121</v>
      </c>
      <c r="C90" s="7" t="s">
        <v>172</v>
      </c>
      <c r="D90" s="7" t="s">
        <v>173</v>
      </c>
      <c r="E90" s="7" t="s">
        <v>174</v>
      </c>
      <c r="F90" s="7" t="s">
        <v>175</v>
      </c>
      <c r="G90" s="7" t="s">
        <v>62</v>
      </c>
      <c r="H90" s="7" t="s">
        <v>63</v>
      </c>
      <c r="I90" s="7" t="s">
        <v>64</v>
      </c>
      <c r="J90" s="7" t="s">
        <v>32</v>
      </c>
      <c r="K90" s="7" t="s">
        <v>33</v>
      </c>
      <c r="L90" s="7" t="s">
        <v>194</v>
      </c>
      <c r="M90" s="7" t="s">
        <v>193</v>
      </c>
      <c r="N90" s="7" t="s">
        <v>67</v>
      </c>
      <c r="O90" s="11">
        <v>5</v>
      </c>
      <c r="P90" s="11"/>
      <c r="Q90" s="11"/>
      <c r="R90" s="11">
        <v>5</v>
      </c>
    </row>
    <row r="91" spans="1:18" ht="96" customHeight="1">
      <c r="A91" s="7" t="s">
        <v>171</v>
      </c>
      <c r="B91" s="7" t="s">
        <v>121</v>
      </c>
      <c r="C91" s="7" t="s">
        <v>172</v>
      </c>
      <c r="D91" s="7" t="s">
        <v>173</v>
      </c>
      <c r="E91" s="7" t="s">
        <v>174</v>
      </c>
      <c r="F91" s="7" t="s">
        <v>175</v>
      </c>
      <c r="G91" s="7" t="s">
        <v>62</v>
      </c>
      <c r="H91" s="7" t="s">
        <v>63</v>
      </c>
      <c r="I91" s="7" t="s">
        <v>64</v>
      </c>
      <c r="J91" s="7" t="s">
        <v>35</v>
      </c>
      <c r="K91" s="7" t="s">
        <v>36</v>
      </c>
      <c r="L91" s="7" t="s">
        <v>195</v>
      </c>
      <c r="M91" s="7" t="s">
        <v>193</v>
      </c>
      <c r="N91" s="7" t="s">
        <v>67</v>
      </c>
      <c r="O91" s="11">
        <v>4.5</v>
      </c>
      <c r="P91" s="11"/>
      <c r="Q91" s="11"/>
      <c r="R91" s="11">
        <v>4</v>
      </c>
    </row>
  </sheetData>
  <phoneticPr fontId="5" type="noConversion"/>
  <dataValidations count="1">
    <dataValidation type="list" sqref="O2:O91" xr:uid="{00000000-0002-0000-0000-000000000000}">
      <formula1>"0,0.5,1,1.5,2,2.5,3,3.5,4,4.5,5"</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showGridLines="0" tabSelected="1" workbookViewId="0">
      <selection sqref="A1:F1"/>
    </sheetView>
  </sheetViews>
  <sheetFormatPr baseColWidth="10" defaultColWidth="8.83203125" defaultRowHeight="14"/>
  <cols>
    <col min="1" max="1" width="18.83203125" customWidth="1"/>
    <col min="2" max="2" width="40" customWidth="1"/>
    <col min="4" max="4" width="18.83203125" customWidth="1"/>
    <col min="5" max="6" width="40" customWidth="1"/>
  </cols>
  <sheetData>
    <row r="1" spans="1:6" ht="19">
      <c r="A1" s="12" t="s">
        <v>196</v>
      </c>
      <c r="B1" s="12"/>
      <c r="C1" s="12"/>
      <c r="D1" s="12"/>
      <c r="E1" s="12"/>
      <c r="F1" s="12"/>
    </row>
    <row r="2" spans="1:6" ht="15">
      <c r="D2" s="5" t="s">
        <v>197</v>
      </c>
      <c r="E2" s="5" t="s">
        <v>4</v>
      </c>
    </row>
    <row r="3" spans="1:6" ht="30">
      <c r="A3" s="6" t="s">
        <v>198</v>
      </c>
      <c r="B3" s="7" t="s">
        <v>199</v>
      </c>
      <c r="C3" s="7"/>
      <c r="D3" s="7" t="s">
        <v>18</v>
      </c>
      <c r="E3" s="7" t="s">
        <v>22</v>
      </c>
      <c r="F3" s="7"/>
    </row>
    <row r="4" spans="1:6" ht="30">
      <c r="A4" s="6" t="s">
        <v>200</v>
      </c>
      <c r="B4" s="7" t="s">
        <v>201</v>
      </c>
      <c r="C4" s="7"/>
      <c r="D4" s="7" t="s">
        <v>70</v>
      </c>
      <c r="E4" s="7" t="s">
        <v>72</v>
      </c>
      <c r="F4" s="7"/>
    </row>
    <row r="5" spans="1:6" ht="30">
      <c r="A5" s="6" t="s">
        <v>202</v>
      </c>
      <c r="B5" s="7" t="s">
        <v>203</v>
      </c>
      <c r="C5" s="7"/>
      <c r="D5" s="7" t="s">
        <v>94</v>
      </c>
      <c r="E5" s="7" t="s">
        <v>98</v>
      </c>
      <c r="F5" s="7"/>
    </row>
    <row r="6" spans="1:6" ht="30">
      <c r="A6" s="6" t="s">
        <v>204</v>
      </c>
      <c r="B6" s="7" t="s">
        <v>205</v>
      </c>
      <c r="C6" s="7"/>
      <c r="D6" s="7" t="s">
        <v>120</v>
      </c>
      <c r="E6" s="7" t="s">
        <v>124</v>
      </c>
      <c r="F6" s="7"/>
    </row>
    <row r="7" spans="1:6" ht="30">
      <c r="A7" s="6" t="s">
        <v>206</v>
      </c>
      <c r="B7" s="7" t="s">
        <v>207</v>
      </c>
      <c r="C7" s="7"/>
      <c r="D7" s="7" t="s">
        <v>146</v>
      </c>
      <c r="E7" s="7" t="s">
        <v>149</v>
      </c>
      <c r="F7" s="7"/>
    </row>
    <row r="8" spans="1:6" ht="30">
      <c r="A8" s="6" t="s">
        <v>208</v>
      </c>
      <c r="B8" s="7" t="s">
        <v>209</v>
      </c>
      <c r="C8" s="7"/>
      <c r="D8" s="7" t="s">
        <v>171</v>
      </c>
      <c r="E8" s="7" t="s">
        <v>174</v>
      </c>
      <c r="F8" s="7"/>
    </row>
    <row r="9" spans="1:6" ht="16">
      <c r="A9" s="6" t="s">
        <v>210</v>
      </c>
      <c r="B9" s="7" t="s">
        <v>211</v>
      </c>
      <c r="C9" s="7"/>
      <c r="D9" s="7"/>
      <c r="E9" s="7"/>
      <c r="F9" s="7"/>
    </row>
    <row r="10" spans="1:6" ht="45">
      <c r="A10" s="6" t="s">
        <v>212</v>
      </c>
      <c r="B10" s="7" t="s">
        <v>213</v>
      </c>
      <c r="C10" s="7"/>
      <c r="D10" s="6" t="s">
        <v>9</v>
      </c>
      <c r="E10" s="6" t="s">
        <v>10</v>
      </c>
      <c r="F10" s="6" t="s">
        <v>214</v>
      </c>
    </row>
    <row r="11" spans="1:6" ht="30">
      <c r="A11" s="6" t="s">
        <v>215</v>
      </c>
      <c r="B11" s="7">
        <v>6</v>
      </c>
      <c r="C11" s="7"/>
      <c r="D11" s="7" t="s">
        <v>27</v>
      </c>
      <c r="E11" s="7" t="s">
        <v>28</v>
      </c>
      <c r="F11" s="7" t="s">
        <v>216</v>
      </c>
    </row>
    <row r="12" spans="1:6" ht="30">
      <c r="A12" s="8" t="s">
        <v>217</v>
      </c>
      <c r="B12" s="7" t="s">
        <v>218</v>
      </c>
      <c r="C12" s="7"/>
      <c r="D12" s="7" t="s">
        <v>32</v>
      </c>
      <c r="E12" s="7" t="s">
        <v>33</v>
      </c>
      <c r="F12" s="7" t="s">
        <v>219</v>
      </c>
    </row>
    <row r="13" spans="1:6" ht="30">
      <c r="A13" s="8" t="s">
        <v>220</v>
      </c>
      <c r="B13" s="7" t="s">
        <v>221</v>
      </c>
      <c r="C13" s="7"/>
      <c r="D13" s="7" t="s">
        <v>35</v>
      </c>
      <c r="E13" s="7" t="s">
        <v>36</v>
      </c>
      <c r="F13" s="7" t="s">
        <v>222</v>
      </c>
    </row>
    <row r="14" spans="1:6" ht="16">
      <c r="A14" s="8" t="s">
        <v>223</v>
      </c>
      <c r="B14" s="7" t="s">
        <v>224</v>
      </c>
      <c r="C14" s="7"/>
      <c r="D14" s="7"/>
      <c r="E14" s="7"/>
      <c r="F14" s="7"/>
    </row>
    <row r="15" spans="1:6" ht="16">
      <c r="A15" s="8" t="s">
        <v>225</v>
      </c>
      <c r="B15" s="7" t="s">
        <v>226</v>
      </c>
      <c r="C15" s="7"/>
      <c r="D15" s="7"/>
      <c r="E15" s="7"/>
      <c r="F15" s="7"/>
    </row>
    <row r="16" spans="1:6" ht="16">
      <c r="A16" s="8" t="s">
        <v>227</v>
      </c>
      <c r="B16" s="7" t="s">
        <v>228</v>
      </c>
      <c r="C16" s="7"/>
      <c r="D16" s="7"/>
      <c r="E16" s="7"/>
      <c r="F16" s="7"/>
    </row>
    <row r="17" spans="1:6" ht="30">
      <c r="A17" s="8" t="s">
        <v>229</v>
      </c>
      <c r="B17" s="7" t="s">
        <v>230</v>
      </c>
      <c r="C17" s="7"/>
      <c r="D17" s="7"/>
      <c r="E17" s="7"/>
      <c r="F17" s="7"/>
    </row>
    <row r="18" spans="1:6" ht="16">
      <c r="A18" s="8" t="s">
        <v>231</v>
      </c>
      <c r="B18" s="7" t="s">
        <v>232</v>
      </c>
      <c r="C18" s="7"/>
      <c r="D18" s="7"/>
      <c r="E18" s="7"/>
      <c r="F18" s="7"/>
    </row>
  </sheetData>
  <mergeCells count="1">
    <mergeCell ref="A1:F1"/>
  </mergeCells>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
  <sheetViews>
    <sheetView showGridLines="0" workbookViewId="0"/>
  </sheetViews>
  <sheetFormatPr baseColWidth="10" defaultColWidth="8.83203125" defaultRowHeight="14"/>
  <cols>
    <col min="1" max="6" width="17.1640625" customWidth="1"/>
  </cols>
  <sheetData>
    <row r="1" spans="1:6" ht="15">
      <c r="A1" s="1" t="s">
        <v>0</v>
      </c>
      <c r="B1" s="1" t="s">
        <v>233</v>
      </c>
      <c r="C1" s="1" t="s">
        <v>234</v>
      </c>
      <c r="D1" s="1" t="s">
        <v>235</v>
      </c>
      <c r="E1" s="1" t="s">
        <v>236</v>
      </c>
      <c r="F1" s="1" t="s">
        <v>237</v>
      </c>
    </row>
    <row r="2" spans="1:6">
      <c r="A2" t="s">
        <v>18</v>
      </c>
      <c r="B2" s="2">
        <f>COUNTIF(人工评分!$A$2:$A$91,A2)</f>
        <v>15</v>
      </c>
      <c r="C2" s="2">
        <f>SUMPRODUCT((人工评分!$A$2:$A$91=A2)*ISNUMBER(人工评分!$O$2:$O$91)*(人工评分!$O$2:$O$91&gt;=0)*(人工评分!$O$2:$O$91&lt;=5))</f>
        <v>15</v>
      </c>
      <c r="D2" s="2">
        <f t="shared" ref="D2:D7" si="0">B2-C2</f>
        <v>0</v>
      </c>
      <c r="E2" s="3">
        <f t="shared" ref="E2:E7" si="1">IF(B2=0,"",C2/B2)</f>
        <v>1</v>
      </c>
      <c r="F2" s="4">
        <f>IF(C2=0,"",SUMPRODUCT((人工评分!$A$2:$A$91=A2)*ISNUMBER(人工评分!$O$2:$O$91)*人工评分!$O$2:$O$91)/C2)</f>
        <v>4.4666666666666703</v>
      </c>
    </row>
    <row r="3" spans="1:6">
      <c r="A3" t="s">
        <v>70</v>
      </c>
      <c r="B3" s="2">
        <f>COUNTIF(人工评分!$A$2:$A$91,A3)</f>
        <v>15</v>
      </c>
      <c r="C3" s="2">
        <f>SUMPRODUCT((人工评分!$A$2:$A$91=A3)*ISNUMBER(人工评分!$O$2:$O$91)*(人工评分!$O$2:$O$91&gt;=0)*(人工评分!$O$2:$O$91&lt;=5))</f>
        <v>15</v>
      </c>
      <c r="D3" s="2">
        <f t="shared" si="0"/>
        <v>0</v>
      </c>
      <c r="E3" s="3">
        <f t="shared" si="1"/>
        <v>1</v>
      </c>
      <c r="F3" s="4">
        <f>IF(C3=0,"",SUMPRODUCT((人工评分!$A$2:$A$91=A3)*ISNUMBER(人工评分!$O$2:$O$91)*人工评分!$O$2:$O$91)/C3)</f>
        <v>4.5333333333333297</v>
      </c>
    </row>
    <row r="4" spans="1:6">
      <c r="A4" t="s">
        <v>94</v>
      </c>
      <c r="B4" s="2">
        <f>COUNTIF(人工评分!$A$2:$A$91,A4)</f>
        <v>15</v>
      </c>
      <c r="C4" s="2">
        <f>SUMPRODUCT((人工评分!$A$2:$A$91=A4)*ISNUMBER(人工评分!$O$2:$O$91)*(人工评分!$O$2:$O$91&gt;=0)*(人工评分!$O$2:$O$91&lt;=5))</f>
        <v>15</v>
      </c>
      <c r="D4" s="2">
        <f t="shared" si="0"/>
        <v>0</v>
      </c>
      <c r="E4" s="3">
        <f t="shared" si="1"/>
        <v>1</v>
      </c>
      <c r="F4" s="4">
        <f>IF(C4=0,"",SUMPRODUCT((人工评分!$A$2:$A$91=A4)*ISNUMBER(人工评分!$O$2:$O$91)*人工评分!$O$2:$O$91)/C4)</f>
        <v>4.5</v>
      </c>
    </row>
    <row r="5" spans="1:6">
      <c r="A5" t="s">
        <v>120</v>
      </c>
      <c r="B5" s="2">
        <f>COUNTIF(人工评分!$A$2:$A$91,A5)</f>
        <v>15</v>
      </c>
      <c r="C5" s="2">
        <f>SUMPRODUCT((人工评分!$A$2:$A$91=A5)*ISNUMBER(人工评分!$O$2:$O$91)*(人工评分!$O$2:$O$91&gt;=0)*(人工评分!$O$2:$O$91&lt;=5))</f>
        <v>15</v>
      </c>
      <c r="D5" s="2">
        <f t="shared" si="0"/>
        <v>0</v>
      </c>
      <c r="E5" s="3">
        <f t="shared" si="1"/>
        <v>1</v>
      </c>
      <c r="F5" s="4">
        <f>IF(C5=0,"",SUMPRODUCT((人工评分!$A$2:$A$91=A5)*ISNUMBER(人工评分!$O$2:$O$91)*人工评分!$O$2:$O$91)/C5)</f>
        <v>4.56666666666667</v>
      </c>
    </row>
    <row r="6" spans="1:6">
      <c r="A6" t="s">
        <v>146</v>
      </c>
      <c r="B6" s="2">
        <f>COUNTIF(人工评分!$A$2:$A$91,A6)</f>
        <v>15</v>
      </c>
      <c r="C6" s="2">
        <f>SUMPRODUCT((人工评分!$A$2:$A$91=A6)*ISNUMBER(人工评分!$O$2:$O$91)*(人工评分!$O$2:$O$91&gt;=0)*(人工评分!$O$2:$O$91&lt;=5))</f>
        <v>15</v>
      </c>
      <c r="D6" s="2">
        <f t="shared" si="0"/>
        <v>0</v>
      </c>
      <c r="E6" s="3">
        <f t="shared" si="1"/>
        <v>1</v>
      </c>
      <c r="F6" s="4">
        <f>IF(C6=0,"",SUMPRODUCT((人工评分!$A$2:$A$91=A6)*ISNUMBER(人工评分!$O$2:$O$91)*人工评分!$O$2:$O$91)/C6)</f>
        <v>4.6333333333333302</v>
      </c>
    </row>
    <row r="7" spans="1:6">
      <c r="A7" t="s">
        <v>171</v>
      </c>
      <c r="B7" s="2">
        <f>COUNTIF(人工评分!$A$2:$A$91,A7)</f>
        <v>15</v>
      </c>
      <c r="C7" s="2">
        <f>SUMPRODUCT((人工评分!$A$2:$A$91=A7)*ISNUMBER(人工评分!$O$2:$O$91)*(人工评分!$O$2:$O$91&gt;=0)*(人工评分!$O$2:$O$91&lt;=5))</f>
        <v>15</v>
      </c>
      <c r="D7" s="2">
        <f t="shared" si="0"/>
        <v>0</v>
      </c>
      <c r="E7" s="3">
        <f t="shared" si="1"/>
        <v>1</v>
      </c>
      <c r="F7" s="4">
        <f>IF(C7=0,"",SUMPRODUCT((人工评分!$A$2:$A$91=A7)*ISNUMBER(人工评分!$O$2:$O$91)*人工评分!$O$2:$O$91)/C7)</f>
        <v>4.5</v>
      </c>
    </row>
  </sheetData>
  <phoneticPr fontId="5"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人工评分</vt:lpstr>
      <vt:lpstr>说明</vt:lpstr>
      <vt:lpstr>评分进度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f16394</cp:lastModifiedBy>
  <dcterms:created xsi:type="dcterms:W3CDTF">2026-05-25T09:18:48Z</dcterms:created>
  <dcterms:modified xsi:type="dcterms:W3CDTF">2026-05-25T11:06:02Z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0883C790D56340E7A353B3229030E2BD_13</vt:lpwstr>
  </property>
  <property fmtid="{D5CDD505-2E9C-101B-9397-08002B2CF9AE}" pid="3" name="KSOProductBuildVer">
    <vt:lpwstr>2052-12.1.0.25865</vt:lpwstr>
  </property>
  <property fmtid="{D5CDD505-2E9C-101B-9397-08002B2CF9AE}" pid="4" name="CalculationRule">
    <vt:i4>0</vt:i4>
  </property>
</Properties>
</file>