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0x47/Desktop/pim_planbench/outputs/scoring_v0.3/"/>
    </mc:Choice>
  </mc:AlternateContent>
  <xr:revisionPtr revIDLastSave="0" documentId="13_ncr:1_{2741599F-0743-9B4A-8F63-2079BD585DFC}" xr6:coauthVersionLast="47" xr6:coauthVersionMax="47" xr10:uidLastSave="{00000000-0000-0000-0000-000000000000}"/>
  <bookViews>
    <workbookView xWindow="4080" yWindow="760" windowWidth="25800" windowHeight="17620" xr2:uid="{00000000-000D-0000-FFFF-FFFF00000000}"/>
  </bookViews>
  <sheets>
    <sheet name="人工评分" sheetId="1" r:id="rId1"/>
    <sheet name="说明" sheetId="2" r:id="rId2"/>
    <sheet name="评分进度"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3" l="1"/>
  <c r="F7" i="3" s="1"/>
  <c r="B7" i="3"/>
  <c r="C6" i="3"/>
  <c r="F6" i="3" s="1"/>
  <c r="B6" i="3"/>
  <c r="C5" i="3"/>
  <c r="F5" i="3" s="1"/>
  <c r="B5" i="3"/>
  <c r="C4" i="3"/>
  <c r="F4" i="3" s="1"/>
  <c r="B4" i="3"/>
  <c r="C3" i="3"/>
  <c r="B3" i="3"/>
  <c r="C2" i="3"/>
  <c r="F2" i="3" s="1"/>
  <c r="B2" i="3"/>
  <c r="E3" i="3" l="1"/>
  <c r="E5" i="3"/>
  <c r="E7" i="3"/>
  <c r="E6" i="3"/>
  <c r="E4" i="3"/>
  <c r="D6" i="3"/>
  <c r="D3" i="3"/>
  <c r="E2" i="3"/>
  <c r="D7" i="3"/>
  <c r="F3" i="3"/>
  <c r="D5" i="3"/>
  <c r="D2" i="3"/>
  <c r="D4" i="3"/>
</calcChain>
</file>

<file path=xl/sharedStrings.xml><?xml version="1.0" encoding="utf-8"?>
<sst xmlns="http://schemas.openxmlformats.org/spreadsheetml/2006/main" count="1162" uniqueCount="196">
  <si>
    <t>任务ID</t>
  </si>
  <si>
    <t>难度</t>
  </si>
  <si>
    <t>领域</t>
  </si>
  <si>
    <t>任务类型</t>
  </si>
  <si>
    <t>PDE/系统</t>
  </si>
  <si>
    <t>题面英文</t>
  </si>
  <si>
    <t>评价角度</t>
  </si>
  <si>
    <t>评价角度英文</t>
  </si>
  <si>
    <t>Facet ID</t>
  </si>
  <si>
    <t>模型</t>
  </si>
  <si>
    <t>模型原名</t>
  </si>
  <si>
    <t>模型回答</t>
  </si>
  <si>
    <t>你的评分0-5</t>
  </si>
  <si>
    <t>备注</t>
  </si>
  <si>
    <t>easy_heat_1d_dirichlet_001</t>
  </si>
  <si>
    <t>easy</t>
  </si>
  <si>
    <t>heat_transfer</t>
  </si>
  <si>
    <t>forward_pde_solving</t>
  </si>
  <si>
    <t>1D heat equation</t>
  </si>
  <si>
    <t>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t>
  </si>
  <si>
    <t>问题形式化</t>
  </si>
  <si>
    <t>Problem Formalization</t>
  </si>
  <si>
    <t>problem_formalization</t>
  </si>
  <si>
    <t>DeepSeek-V4-Flash</t>
  </si>
  <si>
    <t>deepseek-ai/DeepSeek-V4-Flash</t>
  </si>
  <si>
    <t>Kimi-K2.6</t>
  </si>
  <si>
    <t>Pro/moonshotai/Kimi-K2.6</t>
  </si>
  <si>
    <t>GLM-4.7</t>
  </si>
  <si>
    <t>Pro/zai-org/GLM-4.7</t>
  </si>
  <si>
    <t>物理约束</t>
  </si>
  <si>
    <t>Physics Constraints</t>
  </si>
  <si>
    <t>physics_constraints</t>
  </si>
  <si>
    <t>模型选择</t>
  </si>
  <si>
    <t>Model Choice</t>
  </si>
  <si>
    <t>model_choice</t>
  </si>
  <si>
    <t>训练策略</t>
  </si>
  <si>
    <t>Training Strategy</t>
  </si>
  <si>
    <t>training_strategy</t>
  </si>
  <si>
    <t>验证与失败风险</t>
  </si>
  <si>
    <t>Validation Failure Risks</t>
  </si>
  <si>
    <t>validation_failure_risks</t>
  </si>
  <si>
    <t>medium_heat_inverse_alpha_009</t>
  </si>
  <si>
    <t>medium</t>
  </si>
  <si>
    <t>inverse_parameter_estimation</t>
  </si>
  <si>
    <t>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t>
  </si>
  <si>
    <t>medium_wave_sparse_sensors_012</t>
  </si>
  <si>
    <t>wave_propagation</t>
  </si>
  <si>
    <t>sparse_observation_modeling</t>
  </si>
  <si>
    <t>1D wave equation</t>
  </si>
  <si>
    <t>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t>
  </si>
  <si>
    <t>A Physics-Informed Neural Network (PINN) is selected due to its ability to integrate sparse data with PDE constraints. A fully connected Multi-Layer Perceptron (MLP) with sinusoidal activations (SIREN) or $	anh$ is recommended to better capture the oscillatory nature of wave solutions compared to standard ReLU networks. The network takes $(x, t)$ as input and outputs $u$. This architecture allows the PDE loss to regularize the solution in regions lacking sensor data.</t>
  </si>
  <si>
    <t>hard_cahn_hilliard_017</t>
  </si>
  <si>
    <t>hard</t>
  </si>
  <si>
    <t>phase_field</t>
  </si>
  <si>
    <t>high_order_pde_modeling</t>
  </si>
  <si>
    <t>Cahn-Hilliard equation</t>
  </si>
  <si>
    <t>A researcher wants to model a conserved phase-field process governed by a Cahn-Hilliard-type equation. The order parameter evolves through a chemical-potential-driven mechanism, total phase mass should not drift over time, and sharp interfaces may form. Design a physics-informed modeling workflow for this system.</t>
  </si>
  <si>
    <t>hard_helmholtz_high_frequency_020</t>
  </si>
  <si>
    <t>wave_physics</t>
  </si>
  <si>
    <t>high_frequency_frequency_domain_modeling</t>
  </si>
  <si>
    <t>Helmholtz equation</t>
  </si>
  <si>
    <t>A researcher wants to solve a complex-valued frequency-domain Helmholtz problem in a bounded two-dimensional domain with a known source term and prescribed boundary data. The wavelength is short relative to the domain size, and both phase and amplitude accuracy matter. Design a physics-informed modeling workflow and discuss training and validation risks.</t>
  </si>
  <si>
    <t>A physics-informed neural network (PINN) with a complex-valued architecture (e.g., using complex weights or splitting into real/imaginary outputs) is suitable. The loss function includes the PDE residual (real and imaginary parts) and boundary condition mismatch. For high frequencies, a standard PINN may fail due to spectral bias; thus, use a Fourier feature network or a multi-scale architecture (e.g., with sinusoidal activation functions or random Fourier features) to capture high-frequency oscillations. Alternatively, a separable PINN or a network with adaptive activation functions can help. The model choice is justified by the need for mesh-free, differentiable solutions that can incorporate physics constraints directly.</t>
  </si>
  <si>
    <t>Select a Fourier Feature Network (FFN): map spatial coordinates x through a Fourier feature layer γ(x) = [cos(2πBx), sin(2πBx)] with learnable or random frequency matrix B, followed by an MLP outputting (û_R, û_I). Justification: standard MLPs suffer from spectral bias that suppresses high-frequency modes, whereas Fourier features lift the input into a space where short-wavelength Helmholtz oscillations are learnable. For extreme frequencies, consider an amplitude–phase decomposition û = A e^{iφ} with separate networks for smooth amplitude A and phase φ, though this introduces additional nonlinearity.</t>
  </si>
  <si>
    <t>A standard Multi-Layer Perceptron (MLP) is unsuitable due to spectral bias. A SIREN (Sinusoidal Representation Network) or a Fourier Feature Network is required. These architectures use periodic activation functions or Fourier feature mappings to project inputs into a high-dimensional space, enabling the representation of high-frequency signals. The network should have two output neurons representing the real and imaginary parts of the solution. This choice is justified by the need to capture the rapid spatial variations inherent in high-wavenumber Helmholtz problems.</t>
  </si>
  <si>
    <t>Use a composite loss L = λ_int·L_int + λ_bc·L_bc, where L_int is the mean squared Helmholtz residual and L_bc is the mean squared boundary error. Apply curriculum/continuation training: pre-train at a reduced wavenumber k₀ &lt; k and progressively increase k while warm-starting weights. Distribute collocation points quasi-uniformly with density scaling linearly with k, and adaptively resample in high-residual regions. Optimize with Adam (learning rate 1e−4 to 1e−3) for the curriculum stages, then fine-tune with L-BFGS. Employ adaptive loss weighting (e.g., NTK balancing or GradNorm) because high-k interior and boundary gradients can differ by orders of magnitude.</t>
  </si>
  <si>
    <t>Employ a composite loss function $L = \lambda_{r} \| r \|^2 + \lambda_{b} \| u_{\theta} - u_{bc} \|^2$. Use adaptive sampling (e.g., residual-based sampling) to dynamically place collocation points in regions of high error or rapid oscillation. Implement curriculum learning by starting training at a lower wavenumber and gradually increasing $k$ to the target value; this simplifies the optimization landscape. Use Adam for initial optimization followed by L-BFGS for high-precision convergence.</t>
  </si>
  <si>
    <t>Primary risks: (i) Spectral bias leading to under-resolution of short-wavelength modes and a smooth but incorrect solution. (ii) Phase pollution, where small errors in wavenumber or velocity accumulate over many wavelengths, destroying phase accuracy. (iii) Aliasing from collocation spacing below the Nyquist limit. (iv) Near-resonance if k approaches an eigenvalue of the associated homogeneous problem (cannot be assessed without specified BC type and geometry). (v) Loss imbalance causing spurious reflections or violated boundary conditions. (vi) Ill-posedness if boundary conditions are under-specified. Validate against a high-order FEM reference using relative L² and H¹ errors, pointwise amplitude and phase error, and energy-flux conservation. Without specified geometry and BCs, benchmark construction and resonance analysis remain incomplete.</t>
  </si>
  <si>
    <t>The primary risk is spectral bias, where the model fails to capture the high-frequency oscillations, resulting in a smoothed solution with incorrect phase. There is also a risk of amplitude decay as the wave propagates through the domain. If the boundary loss weight is too low, the solution may satisfy the PDE but violate the boundary conditions (boundary leakage). Validation must include error metrics for both magnitude and phase separately, as a low magnitude error can mask a catastrophic phase error.</t>
  </si>
  <si>
    <t>hard_plus_mhd_divergence_025</t>
  </si>
  <si>
    <t>hard_plus</t>
  </si>
  <si>
    <t>magnetohydrodynamics</t>
  </si>
  <si>
    <t>coupled_divergence_free_field_modeling</t>
  </si>
  <si>
    <t>Resistive magnetohydrodynamics</t>
  </si>
  <si>
    <t>A plasma physics team wants to model a two-dimensional resistive magnetohydrodynamics system with coupled velocity and magnetic fields from governing equations and optional sparse observations. The workflow should avoid nonphysical field configurations while coupling fluid momentum and magnetic induction. Design a physics-informed modeling workflow for the coupled fields.</t>
  </si>
  <si>
    <t>The objective is to model the coupled velocity field u(x,t) and magnetic field B(x,t) in a 2D resistive MHD system. The governing equations are the momentum equation with Lorentz forcing, the resistive induction equation, and the divergence-free constraint on B. Critical missing specifications include: whether the flow is incompressible or compressible (and thus whether a mass continuity and energy equation are required); the spatial domain geometry; boundary and initial conditions; the dimensionless parameters (Reynolds number Re, magnetic Reynolds number Rm, plasma beta); and the spatial locations, observed variables, and noise levels of sparse observations. Without these, the problem is formally ill-posed and the workflow must either treat them as configurable assumptions or as additional trainable quantities with explicit sensitivity analysis.</t>
  </si>
  <si>
    <t>The objective is to reconstruct the spatiotemporal evolution of velocity $\mathbf{u}(x,y,t)$ and magnetic field $\mathbf{B}(x,y,t)$ in a 2D domain using the resistive MHD equations and sparse observational data. Missing specifications include domain geometry, boundary conditions (BCs), initial conditions (ICs), transport coefficients (resistivity $\eta$, viscosity $\nu$), and the spatial distribution of observations. The workflow will assume a generic rectangular domain and treat unspecified parameters as learnable constants or fixed defaults, while BCs must be assumed (e.g., periodic) to close the system.</t>
  </si>
  <si>
    <t>Key constraints: (1) ∇·u=0 (incompressibility), (2) ∇·B=0 (no magnetic monopoles), (3) momentum equation: ∂u/∂t + (u·∇)u = -∇p + ν∇²u + (1/μ₀)(∇×B)×B, (4) induction equation: ∂B/∂t = ∇×(u×B) + η∇²B. These must be enforced as soft or hard constraints. Missing: boundary/initial conditions, domain geometry, parameter values (ν, η, μ₀), and observation noise level. These affect loss weighting and solution uniqueness.</t>
  </si>
  <si>
    <t>Enforce the solenoidal condition on the magnetic field exactly by representing B via a scalar magnetic potential A_z such that B = ∇×(A_z e_z). If incompressibility is assumed, enforce ∇·u = 0 analogously via a stream function ψ. Physics-informed loss terms must penalize the momentum equation residual, the resistive induction equation residual, and optional sparse observation mismatch. Because compressibility and the equation of state are unspecified, the workflow must explicitly flag that mass and energy equations are omitted and that any compressible regime assumptions require additional constraints. Boundary and initial conditions should be enforced as soft penalties unless explicitly provided for hard transformation.</t>
  </si>
  <si>
    <t>The model must satisfy the resistive MHD equations: 1) Momentum: $\rho (\partial_t \mathbf{u} + \mathbf{u} \cdot \nabla \mathbf{u}) = -\nabla p + \mathbf{J} \times \mathbf{B} + \nu \nabla^2 \mathbf{u}$; 2) Induction: $\partial_t \mathbf{B} = \nabla \times (\mathbf{u} \times \mathbf{B}) + \eta \nabla^2 \mathbf{B}$; 3) Continuity: $\partial_t \rho + \nabla \cdot (\rho \mathbf{u}) = 0$. Crucially, the magnetic field must satisfy the solenoidal constraint $\nabla \cdot \mathbf{B} = 0$ at all times to avoid non-physical configurations.</t>
  </si>
  <si>
    <t>A physics-informed neural network (PINN) with separate outputs for u, B, and p is suitable. The network should have two heads: one for fluid variables (u, p) and one for magnetic field B. Use a Fourier feature embedding or sinusoidal activation (SIREN) to capture high-frequency MHD dynamics. The model must include automatic differentiation to compute PDE residuals. For divergence constraints, use a divergence-free basis (e.g., streamfunction for u, vector potential for B) to enforce ∇·u=0 and ∇·B=0 exactly. This avoids soft penalty terms that may not be strictly satisfied.</t>
  </si>
  <si>
    <t>Adopt a Physics-Informed Neural Network (PINN) with separate deep fully connected networks for the stream function ψ_θ (and pressure p_θ if incompressible) and the magnetic potential A_φ. This potential representation hard-codes divergence-free conditions for both fields, eliminating the primary failure mode of magnetic monopole drift. Fourier feature embeddings or sinusoidal activations are recommended to capture the multiscale structure of Alfvén waves and resistive diffusion. Decoupling the fluid and magnetic potentials into separate networks mitigates gradient pathologies and allows field-specific capacity allocation.</t>
  </si>
  <si>
    <t>A Physics-Informed Neural Network (PINN) architecture is selected to handle the coupled PDE system and sparse data integration. To strictly enforce $\nabla \cdot \mathbf{B} = 0$, the network will output the magnetic vector potential $A_z(x,y,t)$, deriving $\mathbf{B} = (\partial_y A_z, -\partial_x A_z)$, rather than predicting $\mathbf{B}$ directly. This eliminates the need for soft-constraint penalties on divergence. The network will have separate output heads for $A_z$ and velocity components $\mathbf{u}$, using a fully-connected architecture with sinusoidal activation functions to capture multi-scale dynamics.</t>
  </si>
  <si>
    <t>Loss function: L = λ_data L_data + λ_PDE L_PDE + λ_div L_div (if not hard-encoded). L_data: MSE between predicted and observed u, B at sparse points. L_PDE: residuals of momentum and induction equations sampled via collocation points (e.g., Latin hypercube or adaptive sampling). L_div: MSE of ∇·u and ∇·B (if not hard-encoded). Use Adam optimizer initially, then L-BFGS for fine-tuning. Learning rate scheduling and gradient clipping may be needed. Missing: observation noise, so add Gaussian noise to synthetic data for robustness. Use residual-based adaptive refinement (RAR) to focus collocation points near high-residual regions.</t>
  </si>
  <si>
    <t>Define the total loss as L = λ_mom L_mom + λ_ind L_ind + λ_data L_data + λ_icbc L_icbc, with all derivatives computed via automatic differentiation. Employ adaptive weighting (e.g., NTK-based or GradNorm) to balance the disparate magnitudes of fluid advection, Lorentz forcing, and resistive diffusion terms. Sample collocation points using quasi-random Sobol sequences and apply residual-based adaptive refinement to concentrate points near current sheets or reconnection regions. Optimize with Adam and cosine annealing, followed by L-BFGS fine-tuning. If physical parameters are unknown, treat Re and Rm as trainable variables bounded by physical priors. Use curriculum training that begins with elevated resistivity and gradually anneals to the target Rm to improve convergence.</t>
  </si>
  <si>
    <t>The loss function combines PDE residuals ($L_{PDE}$), data mismatch ($L_{Data}$), and boundary/initial condition enforcement ($L_{BC/IC}$). Adaptive loss weighting (e.g., GradNorm) is employed to balance the stiff momentum and induction terms against sparse data terms. Collocation points are sampled using a quasi-Monte Carlo method, with dynamic resampling focused on regions with high PDE residuals. Optimization proceeds with Adam for initial convergence, followed by L-BFGS for high-precision minimization.</t>
  </si>
  <si>
    <t>Risks: (1) Non-unique solutions due to missing boundary/initial conditions; (2) Failure to enforce ∇·B=0 leading to unphysical magnetic fields; (3) Poor convergence from stiff PDE coupling; (4) Overfitting to sparse noisy observations; (5) Inability to capture fast magnetic reconnection events without sufficient collocation points. Mitigations: hard-encode divergence constraints, use adaptive sampling, validate against analytic MHD solutions (e.g., Alfvén waves), and perform sensitivity analysis on missing parameters.</t>
  </si>
  <si>
    <t>Key risks are: (1) ill-posedness and non-uniqueness due to missing boundary/initial conditions and sparse observations; (2) spectral bias preventing resolution of thin current sheets or magnetic islands; (3) loss imbalance causing one field to converge while the other stagnates; (4) divergence drift if the potential formulation is bypassed or post-processed with inaccurate numerical differentiation; (5) poor extrapolation outside the training space-time domain; and (6) training instability if the true regime is high-Rm turbulent and the network capacity or collocation sampling is insufficient to resolve small-scale dynamics. Validation must monitor total energy, cross-helicity, and pointwise divergence residuals.</t>
  </si>
  <si>
    <t>Primary risks include: 1) Divergence drift if the vector potential formulation is numerically unstable; 2) Optimization stagnation due to the stiffness of MHD equations (disparate time scales of Alfv\u00e9n waves and resistive diffusion); 3) Ill-posedness where sparse data fails to constrain the solution, leading to overfitting to noise or unphysical modes; 4) Sensitivity to the assumed boundary conditions if they do not match the physical reality.</t>
  </si>
  <si>
    <t>PIM-PlanBench 人工评分表 v0.2</t>
  </si>
  <si>
    <t>选中题目</t>
  </si>
  <si>
    <t>Public tasks</t>
  </si>
  <si>
    <t>dataset/tasks_public_v0.3.jsonl</t>
  </si>
  <si>
    <t>Private references</t>
  </si>
  <si>
    <t>dataset/references_private_v0.3.jsonl</t>
  </si>
  <si>
    <t>Prompt setting</t>
  </si>
  <si>
    <t>canonical_v0.3</t>
  </si>
  <si>
    <t>Rubric</t>
  </si>
  <si>
    <t>docs/rubric_v0.3.md</t>
  </si>
  <si>
    <t>Score scale</t>
  </si>
  <si>
    <t>0-5 per facet; 25 points per task</t>
  </si>
  <si>
    <t>任务数量</t>
  </si>
  <si>
    <t>模型数量</t>
  </si>
  <si>
    <t>评分行数</t>
  </si>
  <si>
    <t>Normalized file</t>
  </si>
  <si>
    <t>runs/pilot_v0.3/normalized/deepseek-ai_DeepSeek-V4-Flash__canonical_v0.3.jsonl</t>
  </si>
  <si>
    <t>0</t>
  </si>
  <si>
    <t>缺失、错误或无法评分</t>
  </si>
  <si>
    <t>runs/pilot_v0.3/normalized/Pro_moonshotai_Kimi-K2.6__canonical_v0.3.jsonl</t>
  </si>
  <si>
    <t>1</t>
  </si>
  <si>
    <t>有少量相关内容但关键缺陷明显</t>
  </si>
  <si>
    <t>runs/pilot_v0.3/normalized/Pro_zai-org_GLM-4.7__canonical_v0.3.jsonl</t>
  </si>
  <si>
    <t>2</t>
  </si>
  <si>
    <t>方向部分正确但遗漏重要要点</t>
  </si>
  <si>
    <t>3</t>
  </si>
  <si>
    <t>基本正确，仍偏通用或不完整</t>
  </si>
  <si>
    <t>4</t>
  </si>
  <si>
    <t>较完整、任务贴合，有少量缺失</t>
  </si>
  <si>
    <t>5</t>
  </si>
  <si>
    <t>完整、准确、任务特异、可执行，并正确处理缺失信息</t>
  </si>
  <si>
    <t>空白</t>
  </si>
  <si>
    <t>尚未人工评分</t>
  </si>
  <si>
    <t>已评分</t>
  </si>
  <si>
    <t>未评分</t>
  </si>
  <si>
    <t>完成率</t>
  </si>
  <si>
    <t>平均分</t>
  </si>
  <si>
    <t>The problem is to approximate the temperature field u(x,t) on a 1D spatial domain [0,L] and time interval [0,T], governed by the heat equation ∂u/∂t = α ∂²u/∂x², where α is the known thermal diffusivity. The initial condition u(x,0) = f(x) is given, and Dirichlet boundary conditions u(0,t)=T0, u(L,t)=TL are prescribed. The geometry (L), time interval (T), and specific values of α, f(x), T0, TL are not provided; these must be specified to fully define the problem.</t>
    <phoneticPr fontId="5" type="noConversion"/>
  </si>
  <si>
    <t>Governing PDE: $u_t = \alpha u_{xx}$ on $x \in (0,L)$, $t \in (0,T]$, with known thermal diffusivity $\alpha$, prescribed initial profile $u(x,0)=u_0(x)$, and Dirichlet boundaries $u(0,t)=g_0(t)$, $u(L,t)=g_L(t)$. Numerical values for $\alpha$, $L$, $T$, $u_0$, $g_0$, and $g_L$ are treated as user inputs; they are described as known but not explicitly listed in the task. No source term is mentioned, so the equation is assumed homogeneous. No observational sensor data are indicated, defaulting the workflow to a pure physics-driven approximation, though a data-fidelity term can be added if measurements become available.</t>
    <phoneticPr fontId="5" type="noConversion"/>
  </si>
  <si>
    <t>The objective is to approximate the temperature field $u(x,t)$ for a 1D rod defined on a spatial domain $x \in [0, L]$ and time interval $t \in [0, T]$. The inputs to the model are the spatial coordinate $x$ and time $t$, and the output is the predicted temperature. The thermal diffusivity $\alpha$ is a known constant parameter.</t>
    <phoneticPr fontId="5" type="noConversion"/>
  </si>
  <si>
    <t>The solution must satisfy the heat equation (PDE residual ≈ 0), the initial condition at t=0, and the Dirichlet boundary conditions at x=0 and x=L. These constraints are enforced as soft penalties in the loss function. No additional constraints (e.g., flux continuity, energy conservation) are required unless specified.</t>
    <phoneticPr fontId="5" type="noConversion"/>
  </si>
  <si>
    <t>The interior residual $u_t - \alpha u_{xx}$ must vanish. Dirichlet and initial conditions uniquely determine the solution for this parabolic problem. The maximum principle bounds the solution by extrema on the parabolic boundary and serves as a post-hoc sanity check. Because the rod length $L$ and time horizon $T$ are not numerically specified, their values must be supplied to define the computational domain before sampling. The task states diffusivity is known but does not confirm it is spatially uniform; if $\alpha$ varies in $x$, the residual must be updated to $\partial_t u - \partial_x(\alpha(x)\partial_x u)=0$.</t>
    <phoneticPr fontId="5" type="noConversion"/>
  </si>
  <si>
    <t>The system is governed by the 1D Heat Equation: $\frac{\partial u}{\partial t} - \alpha \frac{\partial^2 u}{\partial x^2} = 0$. The constraints include the Initial Condition (IC): $u(x, 0) = u_{init}(x)$, and Dirichlet Boundary Conditions (BCs) at both ends: $u(0, t) = T_{left}$ and $u(L, t) = T_{right}$.</t>
    <phoneticPr fontId="5" type="noConversion"/>
  </si>
  <si>
    <t>A physics-informed neural network (PINN) is appropriate because it can incorporate the PDE, initial condition, and boundary conditions directly into the loss function without requiring a mesh or labeled data. The network takes (x,t) as inputs and outputs u(x,t). A fully connected feedforward network with 4-6 hidden layers, 50-100 neurons per layer, and tanh activation is a standard choice for smooth diffusion problems. This model fits the PDE type (parabolic), available constraints (IC, BCs), and expected smooth solution.</t>
    <phoneticPr fontId="5" type="noConversion"/>
  </si>
  <si>
    <t>A fully connected physics-informed neural network (PINN) with inputs $(x,t)$ and scalar output $\hat{u}(x,t)$, using tanh activations in 4–6 hidden layers of 50–100 neurons. Tanh is chosen because the heat equation admits smooth solutions and its derivatives are well-behaved. To avoid soft-penalty balancing issues, enforce the Dirichlet and initial conditions architecturally via $\hat{u}(x,t) = u_b(x,t) + x(L-x)t \, \text{NN}(x,t)$, where $u_b$ is a smooth lifting function matching the prescribed BCs and IC. If $u_0$ is incompatible with $g_0(0)$ or $g_L(0)$ at the corners, a smoothed lifting function or soft-penalty fallback is required.</t>
    <phoneticPr fontId="5" type="noConversion"/>
  </si>
  <si>
    <t>A Fully Connected Neural Network (FCNN) with 4 hidden layers and 50 neurons per layer, utilizing $	anh$ activation functions. This architecture is chosen for its ability to approximate smooth solutions of parabolic PDEs effectively and its compatibility with automatic differentiation for calculating physics-based residuals.</t>
    <phoneticPr fontId="5" type="noConversion"/>
  </si>
  <si>
    <t>The loss function is L = λ_PDE * L_PDE + λ_IC * L_IC + λ_BC * L_BC, where L_PDE is the mean squared residual of the heat equation at collocation points sampled in the domain, L_IC is the MSE of the predicted vs. given initial profile at t=0, and L_BC is the MSE at the boundaries. Collocation points are sampled using Latin hypercube or random sampling, with higher density near boundaries and initial time if gradients are steep. The weights λ can be fixed or adaptively tuned (e.g., using gradient normalization). Optimizer: Adam with learning rate 1e-3, followed by L-BFGS for fine-tuning. Training proceeds until loss plateaus.</t>
    <phoneticPr fontId="5" type="noConversion"/>
  </si>
  <si>
    <t>Minimize $\mathcal{L} = \mathcal{L}_{\text{pde}} + \lambda_{\text{bc}}\mathcal{L}_{\text{bc}} + \lambda_{\text{ic}}\mathcal{L}_{\text{ic}}$, where each term is the mean squared error on collocation points for the interior residual, boundaries, and initial line. Sample collocation points uniformly or via Latin Hypercube Sampling over the space-time cylinder, after normalizing $x$ and $t$ to $[0,1]$. Train first with Adam (learning rate $10^{-3}$ with decay) for several thousand iterations, then refine with L-BFGS. If soft constraints are used instead of exact architectural enforcement, initialize $\lambda_{\text{bc}}, \lambda_{\text{ic}} \gg 1$ or employ NTK-based adaptive weighting. Validate against a fine finite-difference or spectral reference solution; monitor relative $L^2$ error and maximum-principle compliance.</t>
    <phoneticPr fontId="5" type="noConversion"/>
  </si>
  <si>
    <t>The loss function is a weighted sum: $L = L_{PDE} + \lambda_{IC} L_{IC} + \lambda_{BC} L_{BC}$. $L_{PDE}$ is the MSE of the residual evaluated on collocation points sampled via Latin Hypercube Sampling (LHS) over the domain. $L_{IC}$ and $L_{BC}$ enforce the prescribed initial and boundary states. Optimization will use the Adam algorithm for the first 1000 iterations, followed by the L-BFGS-B optimizer for rapid convergence to a high-precision solution.</t>
    <phoneticPr fontId="5" type="noConversion"/>
  </si>
  <si>
    <t>Potential failures include: (1) Insufficient collocation points leading to poor PDE satisfaction; (2) Spectral bias causing failure to capture high-frequency components in the initial condition; (3) Gradient imbalance between loss terms causing the network to ignore one constraint; (4) Overfitting to collocation points if the network is too large; (5) Numerical instability for long time intervals or sharp gradients. Mitigations: adaptive sampling, loss weighting, Fourier feature embeddings, and validation against a numerical solver (e.g., finite difference) on a coarse grid.</t>
    <phoneticPr fontId="5" type="noConversion"/>
  </si>
  <si>
    <t>(1) Spectral bias: the network may underfit high-frequency initial transients; mitigate with Fourier feature embeddings or sequential time-marching. (2) Causality violation: later-time accuracy can mask early-time errors; mitigate with causal training weights or overlapping time windows. (3) Boundary leakage: soft Dirichlet penalties can fail to hold temperatures exactly at the rod ends; exact architectural enforcement is preferred. (4) Missing observational data: without measurements, model-form errors (e.g., incorrect $\alpha$, unmodeled sources, or non-constant diffusivity) cannot be detected or corrected. (5) Long-horizon instability: large $T$ can cause error accumulation; mitigate by dividing the temporal domain and warm-starting each window from the previous solution.</t>
    <phoneticPr fontId="5" type="noConversion"/>
  </si>
  <si>
    <t>Risks include spectral bias, where the network struggles to fit high-frequency components in the initial temperature profile, and stiffness issues if the diffusivity $\alpha$ is large, leading to difficult gradient dynamics. Additionally, an imbalance between the PDE loss and boundary/initial losses may result in a solution that satisfies constraints but violates the governing equation in the interior.</t>
    <phoneticPr fontId="5" type="noConversion"/>
  </si>
  <si>
    <t>We consider a 1D rod of length L with unknown thermal diffusivity α. The heat equation ∂u/∂t = α ∂²u/∂x² governs the temperature field u(x,t). Sparse, noisy temperature measurements u_obs at some (x_i, t_i) are available. The goal is to infer α and reconstruct u(x,t) over the domain. Missing: boundary conditions (BCs) and initial condition (IC) are not specified; they must be either measured, assumed (e.g., Dirichlet or Neumann), or treated as additional unknowns. The observation noise level is unknown.</t>
    <phoneticPr fontId="5" type="noConversion"/>
  </si>
  <si>
    <t>初步评分标准0-5</t>
    <phoneticPr fontId="5" type="noConversion"/>
  </si>
  <si>
    <t>错误标签</t>
    <phoneticPr fontId="5" type="noConversion"/>
  </si>
  <si>
    <t>The task is to jointly infer an unknown thermal diffusivity alpha and reconstruct the temperature field u(x,t) governed by the 1D heat equation u_t = alpha u_xx on a rod over a space-time domain. Available data are sparse, noisy point measurements. This is an inverse parameter estimation problem coupled with a sparse-data reconstruction problem. Missing specifications that must be obtained or assumed are: the rod length and time horizon; boundary conditions at both ends (Dirichlet, Neumann, or Robin); the initial temperature distribution; whether alpha is a scalar constant or a spatial field; and the sensor noise model. Without boundary and initial conditions, the forward problem is ill-posed and alpha is not uniquely constrained by interior data alone.</t>
    <phoneticPr fontId="5" type="noConversion"/>
  </si>
  <si>
    <t>The objective is to solve the inverse problem for the 1D heat equation $\partial_t u = \alpha \partial_{xx} u$ to infer the constant thermal diffusivity $\alpha$ and reconstruct the temperature field $u(x,t)$ from sparse, noisy observations $\{(x_i, t_i, u_i)\}$. The domain is defined as $x \in [0, L]$ and $t \in [0, T]$. Missing Information: The Boundary Conditions (BCs) at $x=0$ and $x=L$, and the Initial Condition (IC) at $t=0$ are not specified. These must be provided or assumed (e.g., Dirichlet or Neumann types) to close the problem; otherwise, the inverse solution is non-unique.</t>
    <phoneticPr fontId="5" type="noConversion"/>
  </si>
  <si>
    <t>The temperature field must satisfy the heat equation exactly (in a weak or strong sense). BCs and IC must be consistent with the data and the PDE. If BCs/IC are unknown, they become additional parameters to infer, regularized by smoothness or physical plausibility. The diffusivity α must be positive. The reconstruction must be smooth in space and time, respecting parabolic regularity.</t>
    <phoneticPr fontId="5" type="noConversion"/>
  </si>
  <si>
    <t>Constraints include the PDE residual u_t - alpha u_xx = 0 in the interior, strict positivity of alpha, and the physical properties of the heat equation such as energy decay and the maximum principle. Sparse measurements provide pointwise constraints on u. However, because boundary conditions and initial conditions are unspecified, the solution manifold is underdetermined. Identifiability of alpha specifically requires transient data that captures the diffusive time evolution; steady-state or single-time data cannot determine alpha. Any assumed boundary or initial condition must be explicitly stated as a hypothesis in the workflow.</t>
    <phoneticPr fontId="5" type="noConversion"/>
  </si>
  <si>
    <t>1. PDE Residual: The model must satisfy $\partial_t u - \alpha \partial_{xx} u = 0$ at all collocation points. 2. Boundary Conditions: The solution must adhere to the specified BCs (e.g., fixed temperature or insulation) at $x=0, L$. 3. Initial Condition: The solution must match the state at $t=0$. 4. Positivity: The inferred diffusivity must satisfy $\alpha &gt; 0$ to ensure physical consistency (heat flows from hot to cold).</t>
    <phoneticPr fontId="5" type="noConversion"/>
  </si>
  <si>
    <t>A physics-informed neural network (PINN) is suitable: it can handle sparse data, unknown parameters, and enforce the PDE as a soft constraint. The network u_θ(x,t) outputs temperature; α is a trainable scalar. The loss includes data misfit (MSE on observations) and PDE residual (∂u/∂t - α ∂²u/∂x²)² sampled at collocation points. If BCs/IC are unknown, they can be enforced weakly via additional loss terms or learned from data. PINN is chosen for its flexibility with irregular data and ability to incorporate physics directly.</t>
    <phoneticPr fontId="5" type="noConversion"/>
  </si>
  <si>
    <t>A Physics-Informed Neural Network (PINN) is chosen because it encodes the known PDE without a mesh, accommodates irregular sparse observations, and supports joint optimization of the solution representation and an unknown parameter. The temperature field is represented by a fully connected network u_theta(x,t) with smooth activations (e.g., tanh). The diffusivity is treated as a single trainable scalar parameterized as alpha = exp(beta) to enforce positivity. If boundary and initial data are later provided, they are enforced via soft penalty terms; if they remain missing, auxiliary networks or parametric functions can be appended to co-infer them, but the base design assumes they must be supplied for a well-posed result.</t>
    <phoneticPr fontId="5" type="noConversion"/>
  </si>
  <si>
    <t>A Physics-Informed Neural Network (PINN) using a Fully Connected Neural Network (FCNN) with 4-6 hidden layers and 50-100 neurons per layer, utilizing Tanh or Swish activation functions. Inputs are spatial and temporal coordinates $(x, t)$, and the output is the temperature $u(x,t)$. The thermal diffusivity $\alpha$ is treated as a trainable scalar variable. This architecture is chosen for its ability to approximate smooth solutions and its compatibility with automatic differentiation for computing PDE residuals.</t>
    <phoneticPr fontId="5" type="noConversion"/>
  </si>
  <si>
    <t>Use a fully connected neural network with 4-6 hidden layers, 50-100 neurons each, and tanh activation. Collocation points: 10,000-20,000 randomly sampled in [0,L]×[0,T]. Optimize with Adam (learning rate 1e-3) for 10,000-20,000 iterations, then L-BFGS for fine-tuning. Loss weights: λ_data=1, λ_pde=1, λ_bc=0.1 (if BCs are known or learned). If BCs/IC are unknown, add a regularization term (e.g., L2 penalty on boundary gradients). Use mini-batching for large datasets. Monitor validation loss on held-out observations.</t>
    <phoneticPr fontId="5" type="noConversion"/>
  </si>
  <si>
    <t>The loss function combines L_data (MSE on sparse observations), L_pde (MSE of the residual at collocation points), and L_pos (positivity barrier on alpha). Boundary and initial losses are added only once those conditions are specified. Collocation points are sampled via Latin Hypercube Sampling across the space-time cylinder, with optional residual-based adaptive refinement. Training uses Adam with learning rate decay for initial exploration, followed by L-BFGS for high-accuracy minimization of the PDE residual and precise identification of alpha. Adaptive loss weighting balances the competing data and physics terms. Double-precision arithmetic ensures stable computation of second spatial derivatives. Validation uses a held-out subset of sensors to monitor generalization and prevent overfitting to noise.</t>
    <phoneticPr fontId="5" type="noConversion"/>
  </si>
  <si>
    <t>Minimize a composite loss function $\mathcal{L} = \mathcal{L}_{data} + \lambda_{pde}\mathcal{L}_{pde} + \lambda_{bc}\mathcal{L}_{bc} + \lambda_{ic}\mathcal{L}_{ic}$. $\mathcal{L}_{data}$ is the MSE on the sparse measurements. $\mathcal{L}_{pde}$ is the MSE of the PDE residual evaluated on random collocation points. $\mathcal{L}_{bc}$ and $\mathcal{L}_{ic}$ enforce the boundary and initial conditions. Use the Adam optimizer followed by L-BFGS for fine-tuning. To ensure $\alpha &gt; 0$, represent it as $\alpha = \exp( eta)$ where $ eta$ is the trainable parameter.</t>
    <phoneticPr fontId="5" type="noConversion"/>
  </si>
  <si>
    <t>1) Non-uniqueness: multiple (α, BCs, IC) combinations may fit sparse data. Mitigate by adding regularization or prior bounds on α. 2) Overfitting to noise: use early stopping or weight decay. 3) Poor convergence due to stiff PDE: use adaptive collocation sampling or curriculum learning. 4) Incorrect BC/IC assumptions: if assumed, they bias the inference. Validate by cross-validation or residual checks. 5) Numerical instability: use gradient clipping or normalize inputs.</t>
    <phoneticPr fontId="5" type="noConversion"/>
  </si>
  <si>
    <t>Key risks include: (1) Non-identifiability—if measurements are too sparse, lack temporal variation, or approach steady state, alpha cannot be uniquely determined. (2) Missing boundary/initial conditions—these cause non-uniqueness and produce unphysical reconstructions near the domain edges and initial time regardless of interior fit. (3) Noise overfitting—unknown noise statistics can bias alpha and corrupt the temperature field if the data loss is over-weighted. (4) Optimization failure—poor collocation coverage or imbalanced losses can trap the network in local minima with high PDE residuals. (5) Model misspecification—if alpha is spatially varying but treated as constant, residual errors will persist and temperature predictions will be systematically biased. (6) Extrapolation—reconstruction quality degrades outside the spatial and temporal support of the sensors.</t>
    <phoneticPr fontId="5" type="noConversion"/>
  </si>
  <si>
    <t>1. Ill-posedness: If the assumed BCs or ICs deviate significantly from reality, the inferred $\alpha$ will be biased. 2. Data Scarcity: Sparse data may not sufficiently constrain the solution, leading to overfitting to noise or non-unique solutions. 3. Optimization Difficulty: Balancing the weights between data loss and PDE loss is critical; poor balancing can lead to convergence to local minima where the PDE is satisfied but data is ignored (or vice versa). 4. Spectral Bias: The network may struggle to reconstruct sharp thermal fronts if the initial condition contains discontinuities.</t>
    <phoneticPr fontId="5" type="noConversion"/>
  </si>
  <si>
    <t>We have sparse sensor measurements of a 1D wave field u(x,t) over time. The wave speed c is known. The domain is not fully specified; we assume a bounded interval [0,L] but L may be unknown. Initial conditions u(x,0) and ut(x,0) are partially or completely unknown. Boundary conditions are unspecified. The goal is to reconstruct the full wave field and possibly infer missing conditions from the sparse data.</t>
    <phoneticPr fontId="5" type="noConversion"/>
  </si>
  <si>
    <t>Reconstruct the 1D wave field u(x,t) satisfying u_tt = c^2 u_xx with known wave speed c, given sparse point measurements at limited (x_i, t_i). The following are unspecified and must be treated as missing: the full initial displacement u(x,0) and initial velocity u_t(x,0); the boundary condition types and values at the spatial domain edges; the exact domain length; and the sensor noise statistics. Because well-posedness of the wave equation requires both initial conditions and boundary conditions, the problem is ill-posed without additional assumptions or regularization. The workflow must therefore target joint field reconstruction and inference of missing IC/BCs while respecting the domain of dependence.</t>
    <phoneticPr fontId="5" type="noConversion"/>
  </si>
  <si>
    <t>The objective is to reconstruct the spatio-temporal wave field $u(x,t)$ governed by the 1D wave equation $u_{tt} = c^2 u_{xx}$ on a domain $x \in [0, L], t \in [0, T]$. The dataset consists of sparse, point-wise sensor measurements $\mathcal{D} = \{(x_i, t_i, u_i)\}$. The wave speed $c$ is a known constant. Critical missing information includes the full Initial Conditions (ICs: $u(x,0)$ and $u_t(x,0)$) and Boundary Conditions (BCs: $u(0,t)$ and $u(L,t)$). The workflow must treat the reconstruction of $u(x,t)$ and the inference of missing boundary/initial behaviors as a joint inverse problem.</t>
    <phoneticPr fontId="5" type="noConversion"/>
  </si>
  <si>
    <t>The wave equation utt = c^2 uxx must be satisfied. This imposes a strong constraint linking temporal and spatial derivatives. Known wave speed c fixes the propagation speed. Missing initial/boundary conditions reduce identifiability; the solution space is underdetermined without them. Additional constraints: energy conservation (if no damping) and finite domain reflections (if boundaries are reflective).</t>
    <phoneticPr fontId="5" type="noConversion"/>
  </si>
  <si>
    <t>Enforce the PDE residual u_tt - c^2 u_xx = 0 in the interior. The finite propagation speed c imposes a causal structure: information travels along characteristics x ± ct = constant, meaning reconstruction is only reliable within the union of characteristic cones rooted at sensor locations and any known boundary data. Energy conservation provides a secondary global constraint for homogeneous problems. Because ICs and BCs are incomplete, the solution manifold is non-unique; any superposition of left- and right-traveling waves that interpolates the sparse data is admissible. Do not assume damping, forcing, or specific boundary types (Dirichlet/Neumann/Robin) unless provided.</t>
    <phoneticPr fontId="5" type="noConversion"/>
  </si>
  <si>
    <t>The primary constraint is the residual of the wave equation $f = u_{tt} - c^2 u_{xx} = 0$. Secondary constraints include causality (disturbances propagate at speed $c$) and field continuity. If the medium is assumed to be conservative, energy conservation may be considered, though the wave equation itself implies this for standard BCs. No specific source terms or damping coefficients are provided, so the system is modeled as homogeneous and undamped.</t>
    <phoneticPr fontId="5" type="noConversion"/>
  </si>
  <si>
    <t>A physics-informed neural network (PINN) is appropriate. It can incorporate the wave equation as a soft constraint via a loss term, and handle sparse data by fitting to measurements. The network outputs u(x,t) and uses automatic differentiation for derivatives. This choice handles missing boundary/initial conditions by learning them implicitly from data, but risks non-uniqueness if data is too sparse. Alternative: a spectral method with basis functions, but PINN is more flexible for irregular sensor placement.</t>
    <phoneticPr fontId="5" type="noConversion"/>
  </si>
  <si>
    <t>Adopt a Physics-Informed Neural Network (PINN) where a fully-connected network u_theta(x,t) approximates the field. Use Fourier feature mappings or sinusoidal activations (SIREN) to mitigate spectral bias against oscillatory solutions. A PINN is selected because it handles unstructured sparse data without meshing and can embed the known PDE directly. To address missing ICs/BCs, parameterize the unknown initial displacement and velocity as separate shallow networks or truncated Fourier series with learnable coefficients, and similarly parameterize unknown boundary traces. These latent functions are jointly optimized with the main network, converting unsupported assumptions into data-driven inferences. If the wave contains sharp fronts, augment with adaptive activation functions or localized collocation refinement.</t>
    <phoneticPr fontId="5" type="noConversion"/>
  </si>
  <si>
    <t>Loss = data_loss + physics_loss. Data_loss: MSE between predicted u and sparse measurements at sensor locations. Physics_loss: MSE of residual of wave equation at collocation points sampled in the domain (e.g., Latin hypercube or random). Use a multi-objective optimization with adaptive weighting (e.g., NTK-based or gradient normalization) to balance terms. Train with Adam then L-BFGS. Include early stopping based on validation on held-out sensors. If boundaries are unknown, add soft boundary loss (e.g., zero normal derivative if reflective) or leave unconstrained. For identifiability, perform multiple runs with different random seeds and check consistency.</t>
    <phoneticPr fontId="5" type="noConversion"/>
  </si>
  <si>
    <t>Minimize L = lambda_data L_data + lambda_pde L_pde + lambda_ic L_ic + lambda_bc L_bc. L_data is MSE at sensor points. L_pde is the wave residual MSE evaluated at space-time collocation points sampled via Latin Hypercube Sampling, with Residual-based Adaptive Refinement (RAR) to add points where the residual is largest. For available partial IC/BC information, use corresponding MSE penalties; for missing segments, penalize the learned latent IC/BC functions with Sobolev or Tikhonov regularization to ensure smoothness. Optimize with Adam (lr 1e-3, exponential decay) for 50k-100k iterations, then switch to L-BFGS for precise residual minimization. Apply a causal training curriculum: initially fit data and low-frequency PDE modes, then progressively increase temporal horizon and IC/BC regularization weights. If sensors are very sparse, add an identifiability pre-check using the sensor characteristic coverage matrix before training.</t>
    <phoneticPr fontId="5" type="noConversion"/>
  </si>
  <si>
    <t>The loss function is $\mathcal{L} = \lambda_{data} \mathcal{L}_{data} + \lambda_{pde} \mathcal{L}_{pde}$, where $\mathcal{L}_{data}$ is the MSE on sensor points and $\mathcal{L}_{pde}$ is the MSE of the wave equation residual on collocation points. Since BCs and ICs are unknown, they are not enforced as hard constraints; instead, the network must learn consistent boundary behaviors from the data-PDE interaction. An adaptive weighting strategy (e.g., SoftAdapt or gradient-based balancing) is crucial to prevent the sparse data loss from being overwhelmed by the PDE loss. Optimization should use Adam for initial exploration followed by L-BFGS for fine-tuning.</t>
    <phoneticPr fontId="5" type="noConversion"/>
  </si>
  <si>
    <t>1) Non-uniqueness: multiple (u, initial/boundary conditions) fit sparse data and wave equation. Mitigate by adding regularization (e.g., L2 on initial condition) or using more sensors. 2) Overfitting to noise: if measurements are noisy, physics loss may be violated. Use noise-aware loss or Bayesian PINN. 3) Poor convergence due to stiff PDE: use curriculum learning (start with low-frequency components) or Fourier feature embedding. 4) Boundary condition misspecification: if assumed boundary type is wrong, solution may be inaccurate. Validate by checking wave reflection patterns if possible. 5) Insufficient collocation points: leads to physics violation in unsampled regions. Use adaptive sampling (e.g., based on residual).</t>
    <phoneticPr fontId="5" type="noConversion"/>
  </si>
  <si>
    <t>Key risks: (1) Non-uniqueness and unidentifiability—predictions outside the characteristic domain of dependence of sensors are unconstrained and cannot be validated; (2) Spectral bias—neural networks underfit high-frequency wave modes, producing dispersive errors; (3) Spatial/temporal aliasing—if sensor spacing violates the Nyquist criterion relative to the wavelength or sampling frequency is insufficient for wave speed c, wave direction and phase become ambiguous; (4) Boundary interaction errors—unspecified boundaries cause unphysical reflections that corrupt the interior field; (5) Long-time drift—compounding PDE residual errors degrade accuracy for large t; (6) Overfitting to sparse noisy measurements. Validation must use held-out sensors, monitor energy conservation, inspect PDE residual maps, and perform ablation studies by dropping random sensors to test robustness.</t>
    <phoneticPr fontId="5" type="noConversion"/>
  </si>
  <si>
    <t>The primary risk is non-uniqueness (identifiability); without explicit BCs/ICs, multiple wave fields may satisfy the sparse data and PDE, leading to physically plausible but incorrect reconstructions (e.g., incorrect reflection phases). Spectral bias may cause the network to miss high-frequency wave components. Additionally, if sensors are too sparse, the optimization may converge to a trivial solution (e.g., $u=0$) or overfit to sensor noise. Validation requires checking the residual on a hold-out set of sensor points and verifying physical plausibility of inferred boundaries.</t>
    <phoneticPr fontId="5" type="noConversion"/>
  </si>
  <si>
    <t>The system is governed by a Cahn-Hilliard equation: ∂φ/∂t = ∇·(M(φ)∇μ), where μ = f'(φ) - ε²∇²φ is the chemical potential, f(φ) is a double-well potential, M(φ) is mobility, and ε controls interface width. The order parameter φ is conserved: ∫ φ dΩ = constant. Initial and boundary conditions are unspecified; typical choices are periodic or no-flux boundaries. Missing: explicit form of f(φ) (e.g., quartic), M(φ) (constant or degenerate), ε, domain geometry, and initial condition. These must be defined to proceed.</t>
    <phoneticPr fontId="5" type="noConversion"/>
  </si>
  <si>
    <t>The system is a conserved phase-field process described by the Cahn-Hilliard equation written as a coupled second-order system: ∂_t φ = ∇·(M(φ)∇μ) with chemical potential μ = -ε²Δφ + W'(φ), where φ is the order parameter, M is mobility, ε is interface width, and W is a double-well free energy. Unspecified elements that must be provided for a concrete instantiation are: spatial dimension and domain geometry, boundary conditions (e.g., periodic or no-flux), the initial condition, the explicit form of W(φ), whether M is constant or degenerate, and numerical values for ε and M. Without these, the workflow proceeds with a general split formulation and treats them as configurable inputs.</t>
    <phoneticPr fontId="5" type="noConversion"/>
  </si>
  <si>
    <t>The system is governed by the Cahn-Hilliard equation, a fourth-order nonlinear PDE describing phase separation. The governing equations are: $\partial_t \phi = \nabla \cdot (M \nabla \mu)$ and $\mu = \phi^3 - \phi - \epsilon^2 \Delta \phi$, where $\phi$ is the order parameter and $\mu$ is the chemical potential. The problem requires solving for $\phi(x,t)$ and $\mu(x,t)$. Missing specifications include: spatial domain geometry, boundary conditions (assumed Neumann or Periodic for conservation), initial condition $\phi_0(x)$, mobility coefficient $M$, and interface parameter $\epsilon$. These must be defined or treated as tunable parameters.</t>
    <phoneticPr fontId="5" type="noConversion"/>
  </si>
  <si>
    <t>Conservation of total phase mass: d/dt ∫ φ dΩ = 0, enforced via no-flux boundary conditions on μ and φ. The chemical potential μ must be continuous across interfaces. The free energy functional F[φ] = ∫ [f(φ) + (ε²/2)|∇φ|²] dΩ must decrease monotonically (dissipative dynamics). Sharp interfaces require ε &lt;&lt; domain size. Missing: specific boundary conditions (e.g., periodic, Neumann) and initial condition; these affect loss term design.</t>
    <phoneticPr fontId="5" type="noConversion"/>
  </si>
  <si>
    <t>Mass conservation is paramount: the total phase mass ∫ φ dΩ must remain constant in time. This is structurally promoted by the divergence-form flux equation and should be paired with zero-flux boundary conditions for both φ and μ (noting that actual boundary conditions are unspecified). An energy dissipation law dE/dt ≤ 0, with E = ∫ (½ε²|∇φ|² + W(φ)) dΩ, should be monitored as a physics consistency check. Sharp interfaces imply a small, possibly unspecified ε, which dictates the required spatial resolution and the severity of spectral bias.</t>
    <phoneticPr fontId="5" type="noConversion"/>
  </si>
  <si>
    <t>1. Mass Conservation: The total integral of the order parameter must remain constant over time ($\frac{d}{dt} \int_\Omega \phi \, dx = 0$), implying zero-flux boundary conditions ($\nabla \phi \cdot n = 0$, $\nabla \mu \cdot n = 0$) or periodic boundaries. 2. Free Energy Dissipation: The system must satisfy the thermodynamic constraint $\frac{dF}{dt} \le 0$. 3. Interface Sharpness: The solution must preserve the characteristic width of the interface proportional to $\epsilon$ without excessive numerical smearing.</t>
    <phoneticPr fontId="5" type="noConversion"/>
  </si>
  <si>
    <t>A physics-informed neural network (PINN) is appropriate: it can embed the Cahn-Hilliard PDE, conservation law, and free energy dissipation as soft constraints. Use separate neural networks for φ(x,t) and μ(x,t) to enforce the chemical potential definition. Alternatively, a single network with automatic differentiation for μ. The double-well potential f(φ) = (φ²-1)²/4 is a standard choice. The model must handle sharp interfaces via adaptive sampling or domain decomposition. Missing data: no observations are specified; the model will be purely physics-constrained.</t>
    <phoneticPr fontId="5" type="noConversion"/>
  </si>
  <si>
    <t>Adopt a split Physics-Informed Neural Network (PINN) that jointly represents φ(x,t) and μ(x,t) as separate outputs of one network or as two coupled networks. This choice is dictated by the fourth-order nature of the direct Cahn-Hilliard operator: differentiating a single network to fourth order via automatic differentiation is numerically unstable and amplifies approximation errors. The split formulation respects the chemical-potential-driven gradient-flow structure, reduces the problem to coupled second-order equations, and enables stable training. Use smooth activations such as tanh or softplus. Because the availability and density of observational data are unspecified, a data-sparse split-PINN is preferred over neural operators; if dense labeled data become available, an operator learner (e.g., FNO) should be reconsidered.</t>
    <phoneticPr fontId="5" type="noConversion"/>
  </si>
  <si>
    <t>A Physics-Informed Neural Network (PINN) architecture is selected. To handle the fourth-order nature of the equation, the model is formulated as a system of two second-order PDEs. The network takes spatiotemporal coordinates $(x, t)$ as input and outputs both $\phi$ and $\mu$. A fully connected network with Swish or Tanh activation functions is suitable. Splitting the equation avoids the numerical instability of computing fourth-order derivatives via automatic differentiation.</t>
    <phoneticPr fontId="5" type="noConversion"/>
  </si>
  <si>
    <t>Loss = PDE residual (Cahn-Hilliard equation) + chemical potential definition residual + conservation loss (|∫ φ dΩ - initial mass|) + boundary condition loss (e.g., ∇φ·n=0, ∇μ·n=0) + initial condition loss. Use collocation points sampled adaptively near interfaces (e.g., where |∇φ| is large) and uniformly elsewhere. Optimize with Adam then L-BFGS. Use gradient clipping to handle stiffness. Missing: initial condition requires a prescribed profile (e.g., random perturbations) to compute initial mass and initial loss.</t>
    <phoneticPr fontId="5" type="noConversion"/>
  </si>
  <si>
    <t>Define the physics-informed loss as the sum of PDE residuals for the two coupled second-order equations, plus initial-condition and boundary-condition losses. Augment with a mass-conservation penalty term (or Lagrange multiplier) if zero-flux boundary conditions cannot be enforced exactly. Sample collocation points using quasi-random Sobol sequences, and adaptively resample in regions of high |∇φ| to resolve sharp interfaces. Optimize with Adam for initial exploration, then switch to L-BFG-S for higher accuracy. Employ a curriculum strategy that initially trains with a smoothed (larger) interface width and progressively anneals toward the physical ε to avoid early training stagnation. Stabilize training and prevent BC/IC domination via loss-term balancing using Neural Tangent Kernel (NTK) analysis or gradient-norm statistics.</t>
    <phoneticPr fontId="5" type="noConversion"/>
  </si>
  <si>
    <t>The loss function is a weighted sum of: PDE residuals ($L_{PDE} = ||\partial_t \phi - \nabla \cdot (M \nabla \mu)||^2 + ||\mu - (\phi^3 - \phi - \epsilon^2 \Delta \phi)||^2$), initial condition loss ($L_{IC}$), and boundary condition loss ($L_{BC}$). An adaptive sampling strategy (e.g., residual-based sampling) is employed to dynamically increase collocation points near sharp interfaces. A hard or soft penalty on the global mass integral ($|| \int \phi dx - C ||^2$) is included to enforce conservation. Optimization uses Adam for initial training followed by L-BFGS-B for fine-tuning.</t>
    <phoneticPr fontId="5" type="noConversion"/>
  </si>
  <si>
    <t>1) Conservation drift: if the conservation loss is not sufficiently weighted, total mass may drift; use a hard constraint via a Lagrange multiplier or penalty. 2) Interface smearing: insufficient resolution near interfaces leads to incorrect dynamics; use adaptive sampling or a multi-scale architecture. 3) Non-uniqueness: multiple steady states may satisfy the PDE; initial condition must be specified. 4) Stiffness: the Cahn-Hilliard equation is fourth-order in space, causing training instability; use mixed formulation (φ, μ) and spectral normalization. 5) Missing boundary conditions: without specifying them, the problem is ill-posed; assume periodic or no-flux and state the assumption.</t>
    <phoneticPr fontId="5" type="noConversion"/>
  </si>
  <si>
    <t>Key risks include: (1) spectral bias in standard MLPs leading to excessive smoothing of sharp interfaces and failure to capture thin transition layers; (2) mass drift over time if conservation is enforced only through soft penalties rather than exact flux boundary conditions or hard constraints; (3) energy non-dissipation and long-time instability due to an unconstrained optimization landscape; (4) severe error amplification if one attempts fourth-order automatic differentiation without the split formulation; (5) non-uniqueness and unidentifiable parameters (ε, M, and the form of W) because coefficient values, boundary conditions, and initial data are unspecified, making quantitative validation impossible without additional information.</t>
    <phoneticPr fontId="5" type="noConversion"/>
  </si>
  <si>
    <t>1. Spectral Bias: The network may fail to resolve sharp interfaces (high frequencies), resulting in overly diffuse phase boundaries. 2. Mass Drift: Soft enforcement of boundary conditions can lead to gradual mass loss/gain over long time horizons. 3. Optimization Stiffness: The high nonlinearity and stiffness of the Cahn-Hilliard equation may cause gradient explosion or convergence to local minima. 4. Boundary Leakage: Inaccurate satisfaction of Neumann BCs can introduce artificial fluxes that violate physical conservation laws.</t>
    <phoneticPr fontId="5" type="noConversion"/>
  </si>
  <si>
    <t>The problem is a complex-valued frequency-domain Helmholtz equation ∇²u + k²u = f in a bounded 2D domain Ω, with prescribed boundary data (Dirichlet, Neumann, or Robin) on ∂Ω. The wavenumber k = 2π/λ is large relative to domain size, leading to highly oscillatory solutions. The source term f is known. Both phase and amplitude accuracy are required. Missing: exact boundary condition type, domain geometry, and material properties (if heterogeneous). These affect the solution's oscillatory nature and the choice of numerical treatment.</t>
    <phoneticPr fontId="5" type="noConversion"/>
  </si>
  <si>
    <t>Formulate the boundary-value problem for the 2D Helmholtz equation Δu(x) + k²u(x) = f(x) in a bounded domain Ω ⊂ ℝ², where u: Ω → ℂ is the complex-valued field, f is the known source, and the wavenumber k is large (short wavelength λ = 2π/k ≪ diam(Ω)). Prescribed boundary data are given on ∂Ω, but the specific boundary condition type (Dirichlet, Neumann, or impedance) and the exact domain geometry are not stated and must be provided to close the problem. The objective is to accurately recover both amplitude |u| and phase arg(u).</t>
    <phoneticPr fontId="5" type="noConversion"/>
  </si>
  <si>
    <t>The objective is to approximate the complex-valued field $u(x) = u_{re}(x) + i u_{im}(x)$ satisfying the Helmholtz equation $\nabla^2 u + k^2 u = f$ in a bounded domain $\Omega \subset \mathbb{R}^2$. The problem involves a high wavenumber $k$ (short wavelength). Missing specifications include the exact geometry of $\Omega$, the specific boundary condition types (Dirichlet, Neumann, or Robin) and their values, the specific wavenumber $k$, and the functional form of the source term $f$. These must be explicitly defined to construct the boundary loss and residual terms.</t>
    <phoneticPr fontId="5" type="noConversion"/>
  </si>
  <si>
    <t>The Helmholtz equation must be satisfied pointwise in Ω. Boundary conditions must be enforced exactly or in a soft manner. For high k, the solution is highly oscillatory, requiring dense sampling or adaptive strategies to resolve wavelengths. The complex-valued nature implies separate real and imaginary parts, or a magnitude/phase decomposition. The constraint that the solution is twice differentiable (C²) is implicit. No additional constraints (e.g., radiation condition) are needed since the domain is bounded.</t>
    <phoneticPr fontId="5" type="noConversion"/>
  </si>
  <si>
    <t>Enforce the PDE residual via real–imaginary splitting (Δu_R + k²u_R = f_R and Δu_I + k²u_I = f_I) or via complex autograd. Enforce the prescribed boundary data; if Dirichlet, strongly enforce them through an output transformation û = g + d(x)·N(x) using a signed distance function d to eliminate BC loss. Sample collocation points with at least 15–20 points per wavelength to prevent aliasing of the oscillatory solution. If impedance conditions apply, include the appropriate Sommerfeld-like term in the boundary residual.</t>
    <phoneticPr fontId="5" type="noConversion"/>
  </si>
  <si>
    <t>The model must satisfy the PDE residual $r(x) = \nabla^2 u_{\theta}(x) + k^2 u_{\theta}(x) - f(x) = 0$ at collocation points. Boundary conditions must be strictly enforced on $\partial \Omega$. The high-frequency nature of the solution imposes a strict constraint on the model's capacity to represent rapid oscillations; standard spectral bias will violate the physics by smoothing out the wave. The complex nature requires the network to handle interference patterns correctly, preserving both amplitude and phase relationships.</t>
    <phoneticPr fontId="5" type="noConversion"/>
  </si>
  <si>
    <t>Use a two-stage training: first, pre-train on a coarse grid of collocation points to capture low-frequency components; then, fine-tune with adaptive sampling (e.g., residual-based refinement) to resolve high-frequency details. The loss is a weighted sum of PDE residual (L2 norm of complex residual), boundary condition loss, and optionally a data loss if measurements exist. Use a complex-valued optimizer (e.g., Adam with complex gradients) or treat real/imaginary parts separately. Employ learning rate scheduling and gradient clipping to stabilize training. For validation, compute relative L2 error on a dense test grid and check phase accuracy via unwrapped phase difference.</t>
    <phoneticPr fontId="5" type="noConversion"/>
  </si>
  <si>
    <t>High-frequency Helmholtz problems are prone to spectral bias, where the network fails to learn high-frequency modes, leading to inaccurate phase and amplitude. Overfitting to collocation points can occur if sampling is insufficient. The loss landscape is highly non-convex, risking convergence to trivial solutions (e.g., zero). Boundary condition enforcement may be weak if soft constraints are used. Validation must include frequency-domain error metrics (e.g., wavenumber-dependent error) and a check for spurious reflections. If the domain has corners or re-entrant features, singularities may cause large errors. Missing boundary condition type or geometry details increase the risk of incorrect problem setup.</t>
    <phoneticPr fontId="5" type="noConversion"/>
  </si>
  <si>
    <t>The task is to model a 2D resistive MHD system with coupled velocity (u) and magnetic (B) fields. The governing equations are the incompressible Navier-Stokes with Lorentz force and the induction equation with resistive diffusion. The domain, boundary conditions, initial conditions, and observation locations are unspecified. The workflow must handle sparse observations and enforce divergence-free constraints (∇·u=0, ∇·B=0). The unknowns are u, B, and pressure p. Resistivity η and viscosity ν are assumed constant but not given.</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</si>
</sst>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1"/>
      <color rgb="FFFFFFFF"/>
      <name val="Carlito"/>
    </font>
    <font>
      <b/>
      <sz val="15"/>
      <color rgb="FFFFFFFF"/>
      <name val="Carlito"/>
    </font>
    <font>
      <b/>
      <sz val="11"/>
      <name val="Carlito"/>
    </font>
    <font>
      <sz val="11"/>
      <name val="Carlito"/>
    </font>
    <font>
      <sz val="9"/>
      <name val="FangSong"/>
      <family val="3"/>
      <charset val="134"/>
    </font>
  </fonts>
  <fills count="5">
    <fill>
      <patternFill patternType="none"/>
    </fill>
    <fill>
      <patternFill patternType="gray125"/>
    </fill>
    <fill>
      <patternFill patternType="solid">
        <fgColor rgb="FF1F4E79"/>
      </patternFill>
    </fill>
    <fill>
      <patternFill patternType="solid">
        <fgColor rgb="FFFFF2CC"/>
      </patternFill>
    </fill>
    <fill>
      <patternFill patternType="solid">
        <fgColor rgb="FFD9EAF7"/>
      </patternFill>
    </fill>
  </fills>
  <borders count="1">
    <border>
      <left/>
      <right/>
      <top/>
      <bottom/>
      <diagonal/>
    </border>
  </borders>
  <cellStyleXfs count="2">
    <xf numFmtId="0" fontId="0" fillId="0" borderId="0"/>
    <xf numFmtId="0" fontId="4" fillId="0" borderId="0"/>
  </cellStyleXfs>
  <cellXfs count="13">
    <xf numFmtId="0" fontId="0" fillId="0" borderId="0" xfId="0"/>
    <xf numFmtId="0" fontId="1" fillId="2" borderId="0" xfId="1" applyFont="1" applyFill="1" applyAlignment="1">
      <alignment horizontal="center" vertical="center" wrapText="1"/>
    </xf>
    <xf numFmtId="0" fontId="0" fillId="0" borderId="0" xfId="1" applyFont="1" applyAlignment="1">
      <alignment vertical="top" wrapText="1"/>
    </xf>
    <xf numFmtId="0" fontId="0" fillId="3" borderId="0" xfId="1" applyFont="1" applyFill="1" applyAlignment="1">
      <alignment vertical="top" wrapText="1"/>
    </xf>
    <xf numFmtId="0" fontId="1" fillId="3" borderId="0" xfId="1" applyFont="1" applyFill="1" applyAlignment="1">
      <alignment horizontal="center" vertical="top" wrapText="1"/>
    </xf>
    <xf numFmtId="0" fontId="3" fillId="4" borderId="0" xfId="1" applyFont="1" applyFill="1" applyAlignment="1">
      <alignment vertical="top" wrapText="1"/>
    </xf>
    <xf numFmtId="0" fontId="3" fillId="3" borderId="0" xfId="1" applyFont="1" applyFill="1" applyAlignment="1">
      <alignment vertical="top" wrapText="1"/>
    </xf>
    <xf numFmtId="0" fontId="3" fillId="4" borderId="0" xfId="1" applyFont="1" applyFill="1"/>
    <xf numFmtId="0" fontId="1" fillId="2" borderId="0" xfId="1" applyFont="1" applyFill="1" applyAlignment="1">
      <alignment horizontal="center"/>
    </xf>
    <xf numFmtId="1" fontId="0" fillId="0" borderId="0" xfId="1" applyNumberFormat="1" applyFont="1"/>
    <xf numFmtId="9" fontId="0" fillId="0" borderId="0" xfId="1" applyNumberFormat="1" applyFont="1"/>
    <xf numFmtId="2" fontId="0" fillId="0" borderId="0" xfId="1" applyNumberFormat="1" applyFont="1"/>
    <xf numFmtId="0" fontId="2" fillId="2" borderId="0" xfId="1" applyFont="1" applyFill="1" applyAlignment="1">
      <alignment horizontal="center"/>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nualScoringRowsV02" displayName="ManualScoringRowsV02" ref="A1:O91">
  <autoFilter ref="A1:O91" xr:uid="{00000000-0009-0000-0100-000001000000}"/>
  <tableColumns count="15">
    <tableColumn id="1" xr3:uid="{00000000-0010-0000-0000-000001000000}" name="任务ID"/>
    <tableColumn id="2" xr3:uid="{00000000-0010-0000-0000-000002000000}" name="难度"/>
    <tableColumn id="3" xr3:uid="{00000000-0010-0000-0000-000003000000}" name="领域"/>
    <tableColumn id="4" xr3:uid="{00000000-0010-0000-0000-000004000000}" name="任务类型"/>
    <tableColumn id="5" xr3:uid="{00000000-0010-0000-0000-000005000000}" name="PDE/系统"/>
    <tableColumn id="6" xr3:uid="{00000000-0010-0000-0000-000006000000}" name="题面英文"/>
    <tableColumn id="7" xr3:uid="{00000000-0010-0000-0000-000007000000}" name="评价角度"/>
    <tableColumn id="8" xr3:uid="{00000000-0010-0000-0000-000008000000}" name="评价角度英文"/>
    <tableColumn id="9" xr3:uid="{00000000-0010-0000-0000-000009000000}" name="Facet ID"/>
    <tableColumn id="10" xr3:uid="{00000000-0010-0000-0000-00000A000000}" name="模型"/>
    <tableColumn id="11" xr3:uid="{00000000-0010-0000-0000-00000B000000}" name="模型原名"/>
    <tableColumn id="12" xr3:uid="{00000000-0010-0000-0000-00000C000000}" name="模型回答"/>
    <tableColumn id="16" xr3:uid="{00000000-0010-0000-0000-000010000000}" name="你的评分0-5"/>
    <tableColumn id="17" xr3:uid="{00000000-0010-0000-0000-000011000000}" name="错误标签"/>
    <tableColumn id="18" xr3:uid="{00000000-0010-0000-0000-000012000000}" name="备注"/>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coringProgressV02" displayName="ScoringProgressV02" ref="A1:F7">
  <tableColumns count="6">
    <tableColumn id="1" xr3:uid="{00000000-0010-0000-0100-000001000000}" name="任务ID"/>
    <tableColumn id="2" xr3:uid="{00000000-0010-0000-0100-000002000000}" name="评分行数"/>
    <tableColumn id="3" xr3:uid="{00000000-0010-0000-0100-000003000000}" name="已评分"/>
    <tableColumn id="4" xr3:uid="{00000000-0010-0000-0100-000004000000}" name="未评分"/>
    <tableColumn id="5" xr3:uid="{00000000-0010-0000-0100-000005000000}" name="完成率"/>
    <tableColumn id="6" xr3:uid="{00000000-0010-0000-0100-000006000000}" name="平均分"/>
  </tableColumns>
  <tableStyleInfo name="TableStyleMedium4"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1"/>
  <sheetViews>
    <sheetView showGridLines="0" tabSelected="1" topLeftCell="H86" workbookViewId="0">
      <selection activeCell="N91" sqref="N91"/>
    </sheetView>
  </sheetViews>
  <sheetFormatPr baseColWidth="10" defaultColWidth="8.83203125" defaultRowHeight="14"/>
  <cols>
    <col min="1" max="1" width="23.83203125" customWidth="1"/>
    <col min="2" max="2" width="7.83203125" customWidth="1"/>
    <col min="3" max="3" width="14.5" customWidth="1"/>
    <col min="4" max="4" width="18.33203125" customWidth="1"/>
    <col min="5" max="5" width="21.1640625" customWidth="1"/>
    <col min="6" max="6" width="48.83203125" customWidth="1"/>
    <col min="7" max="7" width="12.1640625" customWidth="1"/>
    <col min="8" max="9" width="16.1640625" customWidth="1"/>
    <col min="10" max="10" width="15.5" customWidth="1"/>
    <col min="11" max="11" width="21.6640625" customWidth="1"/>
    <col min="12" max="12" width="72.6640625" customWidth="1"/>
    <col min="13" max="13" width="15.33203125" customWidth="1"/>
    <col min="14" max="14" width="17.83203125" customWidth="1"/>
    <col min="15" max="15" width="28.83203125" customWidth="1"/>
    <col min="16" max="16" width="10.5" customWidth="1"/>
  </cols>
  <sheetData>
    <row r="1" spans="1:16" ht="30" customHeight="1">
      <c r="A1" s="1" t="s">
        <v>0</v>
      </c>
      <c r="B1" s="1" t="s">
        <v>1</v>
      </c>
      <c r="C1" s="1" t="s">
        <v>2</v>
      </c>
      <c r="D1" s="1" t="s">
        <v>3</v>
      </c>
      <c r="E1" s="1" t="s">
        <v>4</v>
      </c>
      <c r="F1" s="1" t="s">
        <v>5</v>
      </c>
      <c r="G1" s="1" t="s">
        <v>6</v>
      </c>
      <c r="H1" s="1" t="s">
        <v>7</v>
      </c>
      <c r="I1" s="1" t="s">
        <v>8</v>
      </c>
      <c r="J1" s="1" t="s">
        <v>9</v>
      </c>
      <c r="K1" s="1" t="s">
        <v>10</v>
      </c>
      <c r="L1" s="1" t="s">
        <v>11</v>
      </c>
      <c r="M1" s="4" t="s">
        <v>12</v>
      </c>
      <c r="N1" s="4" t="s">
        <v>143</v>
      </c>
      <c r="O1" s="4" t="s">
        <v>13</v>
      </c>
      <c r="P1" s="4" t="s">
        <v>142</v>
      </c>
    </row>
    <row r="2" spans="1:16" ht="96" customHeight="1">
      <c r="A2" s="2" t="s">
        <v>14</v>
      </c>
      <c r="B2" s="2" t="s">
        <v>15</v>
      </c>
      <c r="C2" s="2" t="s">
        <v>16</v>
      </c>
      <c r="D2" s="2" t="s">
        <v>17</v>
      </c>
      <c r="E2" s="2" t="s">
        <v>18</v>
      </c>
      <c r="F2" s="2" t="s">
        <v>19</v>
      </c>
      <c r="G2" s="2" t="s">
        <v>20</v>
      </c>
      <c r="H2" s="2" t="s">
        <v>21</v>
      </c>
      <c r="I2" s="2" t="s">
        <v>22</v>
      </c>
      <c r="J2" s="2" t="s">
        <v>23</v>
      </c>
      <c r="K2" s="2" t="s">
        <v>24</v>
      </c>
      <c r="L2" s="2" t="s">
        <v>126</v>
      </c>
      <c r="M2" s="3">
        <v>5</v>
      </c>
      <c r="N2" s="3"/>
      <c r="O2" s="3"/>
      <c r="P2" s="3">
        <v>5</v>
      </c>
    </row>
    <row r="3" spans="1:16" ht="96" customHeight="1">
      <c r="A3" s="2" t="s">
        <v>14</v>
      </c>
      <c r="B3" s="2" t="s">
        <v>15</v>
      </c>
      <c r="C3" s="2" t="s">
        <v>16</v>
      </c>
      <c r="D3" s="2" t="s">
        <v>17</v>
      </c>
      <c r="E3" s="2" t="s">
        <v>18</v>
      </c>
      <c r="F3" s="2" t="s">
        <v>19</v>
      </c>
      <c r="G3" s="2" t="s">
        <v>20</v>
      </c>
      <c r="H3" s="2" t="s">
        <v>21</v>
      </c>
      <c r="I3" s="2" t="s">
        <v>22</v>
      </c>
      <c r="J3" s="2" t="s">
        <v>25</v>
      </c>
      <c r="K3" s="2" t="s">
        <v>26</v>
      </c>
      <c r="L3" s="2" t="s">
        <v>127</v>
      </c>
      <c r="M3" s="3">
        <v>5</v>
      </c>
      <c r="N3" s="3"/>
      <c r="O3" s="3"/>
      <c r="P3" s="3">
        <v>5</v>
      </c>
    </row>
    <row r="4" spans="1:16" ht="96" customHeight="1">
      <c r="A4" s="2" t="s">
        <v>14</v>
      </c>
      <c r="B4" s="2" t="s">
        <v>15</v>
      </c>
      <c r="C4" s="2" t="s">
        <v>16</v>
      </c>
      <c r="D4" s="2" t="s">
        <v>17</v>
      </c>
      <c r="E4" s="2" t="s">
        <v>18</v>
      </c>
      <c r="F4" s="2" t="s">
        <v>19</v>
      </c>
      <c r="G4" s="2" t="s">
        <v>20</v>
      </c>
      <c r="H4" s="2" t="s">
        <v>21</v>
      </c>
      <c r="I4" s="2" t="s">
        <v>22</v>
      </c>
      <c r="J4" s="2" t="s">
        <v>27</v>
      </c>
      <c r="K4" s="2" t="s">
        <v>28</v>
      </c>
      <c r="L4" s="2" t="s">
        <v>128</v>
      </c>
      <c r="M4" s="3">
        <v>4</v>
      </c>
      <c r="N4" s="3"/>
      <c r="O4" s="3"/>
      <c r="P4" s="3">
        <v>4</v>
      </c>
    </row>
    <row r="5" spans="1:16" ht="96" customHeight="1">
      <c r="A5" s="2" t="s">
        <v>14</v>
      </c>
      <c r="B5" s="2" t="s">
        <v>15</v>
      </c>
      <c r="C5" s="2" t="s">
        <v>16</v>
      </c>
      <c r="D5" s="2" t="s">
        <v>17</v>
      </c>
      <c r="E5" s="2" t="s">
        <v>18</v>
      </c>
      <c r="F5" s="2" t="s">
        <v>19</v>
      </c>
      <c r="G5" s="2" t="s">
        <v>29</v>
      </c>
      <c r="H5" s="2" t="s">
        <v>30</v>
      </c>
      <c r="I5" s="2" t="s">
        <v>31</v>
      </c>
      <c r="J5" s="2" t="s">
        <v>23</v>
      </c>
      <c r="K5" s="2" t="s">
        <v>24</v>
      </c>
      <c r="L5" s="2" t="s">
        <v>129</v>
      </c>
      <c r="M5" s="3">
        <v>4</v>
      </c>
      <c r="N5" s="3"/>
      <c r="O5" s="3"/>
      <c r="P5" s="3">
        <v>4</v>
      </c>
    </row>
    <row r="6" spans="1:16" ht="96" customHeight="1">
      <c r="A6" s="2" t="s">
        <v>14</v>
      </c>
      <c r="B6" s="2" t="s">
        <v>15</v>
      </c>
      <c r="C6" s="2" t="s">
        <v>16</v>
      </c>
      <c r="D6" s="2" t="s">
        <v>17</v>
      </c>
      <c r="E6" s="2" t="s">
        <v>18</v>
      </c>
      <c r="F6" s="2" t="s">
        <v>19</v>
      </c>
      <c r="G6" s="2" t="s">
        <v>29</v>
      </c>
      <c r="H6" s="2" t="s">
        <v>30</v>
      </c>
      <c r="I6" s="2" t="s">
        <v>31</v>
      </c>
      <c r="J6" s="2" t="s">
        <v>25</v>
      </c>
      <c r="K6" s="2" t="s">
        <v>26</v>
      </c>
      <c r="L6" s="2" t="s">
        <v>130</v>
      </c>
      <c r="M6" s="3">
        <v>5</v>
      </c>
      <c r="N6" s="3"/>
      <c r="O6" s="3"/>
      <c r="P6" s="3">
        <v>4</v>
      </c>
    </row>
    <row r="7" spans="1:16" ht="96" customHeight="1">
      <c r="A7" s="2" t="s">
        <v>14</v>
      </c>
      <c r="B7" s="2" t="s">
        <v>15</v>
      </c>
      <c r="C7" s="2" t="s">
        <v>16</v>
      </c>
      <c r="D7" s="2" t="s">
        <v>17</v>
      </c>
      <c r="E7" s="2" t="s">
        <v>18</v>
      </c>
      <c r="F7" s="2" t="s">
        <v>19</v>
      </c>
      <c r="G7" s="2" t="s">
        <v>29</v>
      </c>
      <c r="H7" s="2" t="s">
        <v>30</v>
      </c>
      <c r="I7" s="2" t="s">
        <v>31</v>
      </c>
      <c r="J7" s="2" t="s">
        <v>27</v>
      </c>
      <c r="K7" s="2" t="s">
        <v>28</v>
      </c>
      <c r="L7" s="2" t="s">
        <v>131</v>
      </c>
      <c r="M7" s="3">
        <v>3</v>
      </c>
      <c r="N7" s="3"/>
      <c r="O7" s="3"/>
      <c r="P7" s="3">
        <v>4</v>
      </c>
    </row>
    <row r="8" spans="1:16" ht="96" customHeight="1">
      <c r="A8" s="2" t="s">
        <v>14</v>
      </c>
      <c r="B8" s="2" t="s">
        <v>15</v>
      </c>
      <c r="C8" s="2" t="s">
        <v>16</v>
      </c>
      <c r="D8" s="2" t="s">
        <v>17</v>
      </c>
      <c r="E8" s="2" t="s">
        <v>18</v>
      </c>
      <c r="F8" s="2" t="s">
        <v>19</v>
      </c>
      <c r="G8" s="2" t="s">
        <v>32</v>
      </c>
      <c r="H8" s="2" t="s">
        <v>33</v>
      </c>
      <c r="I8" s="2" t="s">
        <v>34</v>
      </c>
      <c r="J8" s="2" t="s">
        <v>23</v>
      </c>
      <c r="K8" s="2" t="s">
        <v>24</v>
      </c>
      <c r="L8" s="2" t="s">
        <v>132</v>
      </c>
      <c r="M8" s="3">
        <v>5</v>
      </c>
      <c r="N8" s="3"/>
      <c r="O8" s="3"/>
      <c r="P8" s="3">
        <v>5</v>
      </c>
    </row>
    <row r="9" spans="1:16" ht="96" customHeight="1">
      <c r="A9" s="2" t="s">
        <v>14</v>
      </c>
      <c r="B9" s="2" t="s">
        <v>15</v>
      </c>
      <c r="C9" s="2" t="s">
        <v>16</v>
      </c>
      <c r="D9" s="2" t="s">
        <v>17</v>
      </c>
      <c r="E9" s="2" t="s">
        <v>18</v>
      </c>
      <c r="F9" s="2" t="s">
        <v>19</v>
      </c>
      <c r="G9" s="2" t="s">
        <v>32</v>
      </c>
      <c r="H9" s="2" t="s">
        <v>33</v>
      </c>
      <c r="I9" s="2" t="s">
        <v>34</v>
      </c>
      <c r="J9" s="2" t="s">
        <v>25</v>
      </c>
      <c r="K9" s="2" t="s">
        <v>26</v>
      </c>
      <c r="L9" s="2" t="s">
        <v>133</v>
      </c>
      <c r="M9" s="3">
        <v>5</v>
      </c>
      <c r="N9" s="3"/>
      <c r="O9" s="3"/>
      <c r="P9" s="3">
        <v>5</v>
      </c>
    </row>
    <row r="10" spans="1:16" ht="96" customHeight="1">
      <c r="A10" s="2" t="s">
        <v>14</v>
      </c>
      <c r="B10" s="2" t="s">
        <v>15</v>
      </c>
      <c r="C10" s="2" t="s">
        <v>16</v>
      </c>
      <c r="D10" s="2" t="s">
        <v>17</v>
      </c>
      <c r="E10" s="2" t="s">
        <v>18</v>
      </c>
      <c r="F10" s="2" t="s">
        <v>19</v>
      </c>
      <c r="G10" s="2" t="s">
        <v>32</v>
      </c>
      <c r="H10" s="2" t="s">
        <v>33</v>
      </c>
      <c r="I10" s="2" t="s">
        <v>34</v>
      </c>
      <c r="J10" s="2" t="s">
        <v>27</v>
      </c>
      <c r="K10" s="2" t="s">
        <v>28</v>
      </c>
      <c r="L10" s="2" t="s">
        <v>134</v>
      </c>
      <c r="M10" s="3">
        <v>3</v>
      </c>
      <c r="N10" s="3"/>
      <c r="O10" s="3"/>
      <c r="P10" s="3">
        <v>4</v>
      </c>
    </row>
    <row r="11" spans="1:16" ht="96" customHeight="1">
      <c r="A11" s="2" t="s">
        <v>14</v>
      </c>
      <c r="B11" s="2" t="s">
        <v>15</v>
      </c>
      <c r="C11" s="2" t="s">
        <v>16</v>
      </c>
      <c r="D11" s="2" t="s">
        <v>17</v>
      </c>
      <c r="E11" s="2" t="s">
        <v>18</v>
      </c>
      <c r="F11" s="2" t="s">
        <v>19</v>
      </c>
      <c r="G11" s="2" t="s">
        <v>35</v>
      </c>
      <c r="H11" s="2" t="s">
        <v>36</v>
      </c>
      <c r="I11" s="2" t="s">
        <v>37</v>
      </c>
      <c r="J11" s="2" t="s">
        <v>23</v>
      </c>
      <c r="K11" s="2" t="s">
        <v>24</v>
      </c>
      <c r="L11" s="2" t="s">
        <v>135</v>
      </c>
      <c r="M11" s="3">
        <v>5</v>
      </c>
      <c r="N11" s="3"/>
      <c r="O11" s="3"/>
      <c r="P11" s="3">
        <v>5</v>
      </c>
    </row>
    <row r="12" spans="1:16" ht="96" customHeight="1">
      <c r="A12" s="2" t="s">
        <v>14</v>
      </c>
      <c r="B12" s="2" t="s">
        <v>15</v>
      </c>
      <c r="C12" s="2" t="s">
        <v>16</v>
      </c>
      <c r="D12" s="2" t="s">
        <v>17</v>
      </c>
      <c r="E12" s="2" t="s">
        <v>18</v>
      </c>
      <c r="F12" s="2" t="s">
        <v>19</v>
      </c>
      <c r="G12" s="2" t="s">
        <v>35</v>
      </c>
      <c r="H12" s="2" t="s">
        <v>36</v>
      </c>
      <c r="I12" s="2" t="s">
        <v>37</v>
      </c>
      <c r="J12" s="2" t="s">
        <v>25</v>
      </c>
      <c r="K12" s="2" t="s">
        <v>26</v>
      </c>
      <c r="L12" s="2" t="s">
        <v>136</v>
      </c>
      <c r="M12" s="3">
        <v>4</v>
      </c>
      <c r="N12" s="3"/>
      <c r="O12" s="3"/>
      <c r="P12" s="3">
        <v>5</v>
      </c>
    </row>
    <row r="13" spans="1:16" ht="96" customHeight="1">
      <c r="A13" s="2" t="s">
        <v>14</v>
      </c>
      <c r="B13" s="2" t="s">
        <v>15</v>
      </c>
      <c r="C13" s="2" t="s">
        <v>16</v>
      </c>
      <c r="D13" s="2" t="s">
        <v>17</v>
      </c>
      <c r="E13" s="2" t="s">
        <v>18</v>
      </c>
      <c r="F13" s="2" t="s">
        <v>19</v>
      </c>
      <c r="G13" s="2" t="s">
        <v>35</v>
      </c>
      <c r="H13" s="2" t="s">
        <v>36</v>
      </c>
      <c r="I13" s="2" t="s">
        <v>37</v>
      </c>
      <c r="J13" s="2" t="s">
        <v>27</v>
      </c>
      <c r="K13" s="2" t="s">
        <v>28</v>
      </c>
      <c r="L13" s="2" t="s">
        <v>137</v>
      </c>
      <c r="M13" s="3">
        <v>4</v>
      </c>
      <c r="N13" s="3"/>
      <c r="O13" s="3"/>
      <c r="P13" s="3">
        <v>5</v>
      </c>
    </row>
    <row r="14" spans="1:16" ht="96" customHeight="1">
      <c r="A14" s="2" t="s">
        <v>14</v>
      </c>
      <c r="B14" s="2" t="s">
        <v>15</v>
      </c>
      <c r="C14" s="2" t="s">
        <v>16</v>
      </c>
      <c r="D14" s="2" t="s">
        <v>17</v>
      </c>
      <c r="E14" s="2" t="s">
        <v>18</v>
      </c>
      <c r="F14" s="2" t="s">
        <v>19</v>
      </c>
      <c r="G14" s="2" t="s">
        <v>38</v>
      </c>
      <c r="H14" s="2" t="s">
        <v>39</v>
      </c>
      <c r="I14" s="2" t="s">
        <v>40</v>
      </c>
      <c r="J14" s="2" t="s">
        <v>23</v>
      </c>
      <c r="K14" s="2" t="s">
        <v>24</v>
      </c>
      <c r="L14" s="2" t="s">
        <v>138</v>
      </c>
      <c r="M14" s="3">
        <v>4.5</v>
      </c>
      <c r="N14" s="3"/>
      <c r="O14" s="3"/>
      <c r="P14" s="3">
        <v>3</v>
      </c>
    </row>
    <row r="15" spans="1:16" ht="96" customHeight="1">
      <c r="A15" s="2" t="s">
        <v>14</v>
      </c>
      <c r="B15" s="2" t="s">
        <v>15</v>
      </c>
      <c r="C15" s="2" t="s">
        <v>16</v>
      </c>
      <c r="D15" s="2" t="s">
        <v>17</v>
      </c>
      <c r="E15" s="2" t="s">
        <v>18</v>
      </c>
      <c r="F15" s="2" t="s">
        <v>19</v>
      </c>
      <c r="G15" s="2" t="s">
        <v>38</v>
      </c>
      <c r="H15" s="2" t="s">
        <v>39</v>
      </c>
      <c r="I15" s="2" t="s">
        <v>40</v>
      </c>
      <c r="J15" s="2" t="s">
        <v>25</v>
      </c>
      <c r="K15" s="2" t="s">
        <v>26</v>
      </c>
      <c r="L15" s="2" t="s">
        <v>139</v>
      </c>
      <c r="M15" s="3">
        <v>4.5</v>
      </c>
      <c r="N15" s="3"/>
      <c r="O15" s="3"/>
      <c r="P15" s="3">
        <v>4</v>
      </c>
    </row>
    <row r="16" spans="1:16" ht="96" customHeight="1">
      <c r="A16" s="2" t="s">
        <v>14</v>
      </c>
      <c r="B16" s="2" t="s">
        <v>15</v>
      </c>
      <c r="C16" s="2" t="s">
        <v>16</v>
      </c>
      <c r="D16" s="2" t="s">
        <v>17</v>
      </c>
      <c r="E16" s="2" t="s">
        <v>18</v>
      </c>
      <c r="F16" s="2" t="s">
        <v>19</v>
      </c>
      <c r="G16" s="2" t="s">
        <v>38</v>
      </c>
      <c r="H16" s="2" t="s">
        <v>39</v>
      </c>
      <c r="I16" s="2" t="s">
        <v>40</v>
      </c>
      <c r="J16" s="2" t="s">
        <v>27</v>
      </c>
      <c r="K16" s="2" t="s">
        <v>28</v>
      </c>
      <c r="L16" s="2" t="s">
        <v>140</v>
      </c>
      <c r="M16" s="3">
        <v>4</v>
      </c>
      <c r="N16" s="3"/>
      <c r="O16" s="3"/>
      <c r="P16" s="3">
        <v>4</v>
      </c>
    </row>
    <row r="17" spans="1:16" ht="96" customHeight="1">
      <c r="A17" s="2" t="s">
        <v>41</v>
      </c>
      <c r="B17" s="2" t="s">
        <v>42</v>
      </c>
      <c r="C17" s="2" t="s">
        <v>16</v>
      </c>
      <c r="D17" s="2" t="s">
        <v>43</v>
      </c>
      <c r="E17" s="2" t="s">
        <v>18</v>
      </c>
      <c r="F17" s="2" t="s">
        <v>44</v>
      </c>
      <c r="G17" s="2" t="s">
        <v>20</v>
      </c>
      <c r="H17" s="2" t="s">
        <v>21</v>
      </c>
      <c r="I17" s="2" t="s">
        <v>22</v>
      </c>
      <c r="J17" s="2" t="s">
        <v>23</v>
      </c>
      <c r="K17" s="2" t="s">
        <v>24</v>
      </c>
      <c r="L17" s="2" t="s">
        <v>141</v>
      </c>
      <c r="M17" s="3">
        <v>5</v>
      </c>
      <c r="N17" s="3"/>
      <c r="O17" s="3"/>
      <c r="P17" s="3">
        <v>5</v>
      </c>
    </row>
    <row r="18" spans="1:16" ht="96" customHeight="1">
      <c r="A18" s="2" t="s">
        <v>41</v>
      </c>
      <c r="B18" s="2" t="s">
        <v>42</v>
      </c>
      <c r="C18" s="2" t="s">
        <v>16</v>
      </c>
      <c r="D18" s="2" t="s">
        <v>43</v>
      </c>
      <c r="E18" s="2" t="s">
        <v>18</v>
      </c>
      <c r="F18" s="2" t="s">
        <v>44</v>
      </c>
      <c r="G18" s="2" t="s">
        <v>20</v>
      </c>
      <c r="H18" s="2" t="s">
        <v>21</v>
      </c>
      <c r="I18" s="2" t="s">
        <v>22</v>
      </c>
      <c r="J18" s="2" t="s">
        <v>25</v>
      </c>
      <c r="K18" s="2" t="s">
        <v>26</v>
      </c>
      <c r="L18" s="2" t="s">
        <v>144</v>
      </c>
      <c r="M18" s="3">
        <v>5</v>
      </c>
      <c r="N18" s="3"/>
      <c r="O18" s="3"/>
      <c r="P18" s="3">
        <v>5</v>
      </c>
    </row>
    <row r="19" spans="1:16" ht="96" customHeight="1">
      <c r="A19" s="2" t="s">
        <v>41</v>
      </c>
      <c r="B19" s="2" t="s">
        <v>42</v>
      </c>
      <c r="C19" s="2" t="s">
        <v>16</v>
      </c>
      <c r="D19" s="2" t="s">
        <v>43</v>
      </c>
      <c r="E19" s="2" t="s">
        <v>18</v>
      </c>
      <c r="F19" s="2" t="s">
        <v>44</v>
      </c>
      <c r="G19" s="2" t="s">
        <v>20</v>
      </c>
      <c r="H19" s="2" t="s">
        <v>21</v>
      </c>
      <c r="I19" s="2" t="s">
        <v>22</v>
      </c>
      <c r="J19" s="2" t="s">
        <v>27</v>
      </c>
      <c r="K19" s="2" t="s">
        <v>28</v>
      </c>
      <c r="L19" s="2" t="s">
        <v>145</v>
      </c>
      <c r="M19" s="3">
        <v>5</v>
      </c>
      <c r="N19" s="3"/>
      <c r="O19" s="3"/>
      <c r="P19" s="3">
        <v>5</v>
      </c>
    </row>
    <row r="20" spans="1:16" ht="96" customHeight="1">
      <c r="A20" s="2" t="s">
        <v>41</v>
      </c>
      <c r="B20" s="2" t="s">
        <v>42</v>
      </c>
      <c r="C20" s="2" t="s">
        <v>16</v>
      </c>
      <c r="D20" s="2" t="s">
        <v>43</v>
      </c>
      <c r="E20" s="2" t="s">
        <v>18</v>
      </c>
      <c r="F20" s="2" t="s">
        <v>44</v>
      </c>
      <c r="G20" s="2" t="s">
        <v>29</v>
      </c>
      <c r="H20" s="2" t="s">
        <v>30</v>
      </c>
      <c r="I20" s="2" t="s">
        <v>31</v>
      </c>
      <c r="J20" s="2" t="s">
        <v>23</v>
      </c>
      <c r="K20" s="2" t="s">
        <v>24</v>
      </c>
      <c r="L20" s="2" t="s">
        <v>146</v>
      </c>
      <c r="M20" s="3">
        <v>3</v>
      </c>
      <c r="N20" s="3"/>
      <c r="O20" s="3"/>
      <c r="P20" s="3">
        <v>3</v>
      </c>
    </row>
    <row r="21" spans="1:16" ht="96" customHeight="1">
      <c r="A21" s="2" t="s">
        <v>41</v>
      </c>
      <c r="B21" s="2" t="s">
        <v>42</v>
      </c>
      <c r="C21" s="2" t="s">
        <v>16</v>
      </c>
      <c r="D21" s="2" t="s">
        <v>43</v>
      </c>
      <c r="E21" s="2" t="s">
        <v>18</v>
      </c>
      <c r="F21" s="2" t="s">
        <v>44</v>
      </c>
      <c r="G21" s="2" t="s">
        <v>29</v>
      </c>
      <c r="H21" s="2" t="s">
        <v>30</v>
      </c>
      <c r="I21" s="2" t="s">
        <v>31</v>
      </c>
      <c r="J21" s="2" t="s">
        <v>25</v>
      </c>
      <c r="K21" s="2" t="s">
        <v>26</v>
      </c>
      <c r="L21" s="2" t="s">
        <v>147</v>
      </c>
      <c r="M21" s="3">
        <v>4</v>
      </c>
      <c r="N21" s="3"/>
      <c r="O21" s="3"/>
      <c r="P21" s="3">
        <v>4</v>
      </c>
    </row>
    <row r="22" spans="1:16" ht="96" customHeight="1">
      <c r="A22" s="2" t="s">
        <v>41</v>
      </c>
      <c r="B22" s="2" t="s">
        <v>42</v>
      </c>
      <c r="C22" s="2" t="s">
        <v>16</v>
      </c>
      <c r="D22" s="2" t="s">
        <v>43</v>
      </c>
      <c r="E22" s="2" t="s">
        <v>18</v>
      </c>
      <c r="F22" s="2" t="s">
        <v>44</v>
      </c>
      <c r="G22" s="2" t="s">
        <v>29</v>
      </c>
      <c r="H22" s="2" t="s">
        <v>30</v>
      </c>
      <c r="I22" s="2" t="s">
        <v>31</v>
      </c>
      <c r="J22" s="2" t="s">
        <v>27</v>
      </c>
      <c r="K22" s="2" t="s">
        <v>28</v>
      </c>
      <c r="L22" s="2" t="s">
        <v>148</v>
      </c>
      <c r="M22" s="3">
        <v>3</v>
      </c>
      <c r="N22" s="3"/>
      <c r="O22" s="3"/>
      <c r="P22" s="3">
        <v>3</v>
      </c>
    </row>
    <row r="23" spans="1:16" ht="96" customHeight="1">
      <c r="A23" s="2" t="s">
        <v>41</v>
      </c>
      <c r="B23" s="2" t="s">
        <v>42</v>
      </c>
      <c r="C23" s="2" t="s">
        <v>16</v>
      </c>
      <c r="D23" s="2" t="s">
        <v>43</v>
      </c>
      <c r="E23" s="2" t="s">
        <v>18</v>
      </c>
      <c r="F23" s="2" t="s">
        <v>44</v>
      </c>
      <c r="G23" s="2" t="s">
        <v>32</v>
      </c>
      <c r="H23" s="2" t="s">
        <v>33</v>
      </c>
      <c r="I23" s="2" t="s">
        <v>34</v>
      </c>
      <c r="J23" s="2" t="s">
        <v>23</v>
      </c>
      <c r="K23" s="2" t="s">
        <v>24</v>
      </c>
      <c r="L23" s="2" t="s">
        <v>149</v>
      </c>
      <c r="M23" s="3">
        <v>5</v>
      </c>
      <c r="N23" s="3"/>
      <c r="O23" s="3"/>
      <c r="P23" s="3">
        <v>5</v>
      </c>
    </row>
    <row r="24" spans="1:16" ht="96" customHeight="1">
      <c r="A24" s="2" t="s">
        <v>41</v>
      </c>
      <c r="B24" s="2" t="s">
        <v>42</v>
      </c>
      <c r="C24" s="2" t="s">
        <v>16</v>
      </c>
      <c r="D24" s="2" t="s">
        <v>43</v>
      </c>
      <c r="E24" s="2" t="s">
        <v>18</v>
      </c>
      <c r="F24" s="2" t="s">
        <v>44</v>
      </c>
      <c r="G24" s="2" t="s">
        <v>32</v>
      </c>
      <c r="H24" s="2" t="s">
        <v>33</v>
      </c>
      <c r="I24" s="2" t="s">
        <v>34</v>
      </c>
      <c r="J24" s="2" t="s">
        <v>25</v>
      </c>
      <c r="K24" s="2" t="s">
        <v>26</v>
      </c>
      <c r="L24" s="2" t="s">
        <v>150</v>
      </c>
      <c r="M24" s="3">
        <v>5</v>
      </c>
      <c r="N24" s="3"/>
      <c r="O24" s="3"/>
      <c r="P24" s="3">
        <v>5</v>
      </c>
    </row>
    <row r="25" spans="1:16" ht="96" customHeight="1">
      <c r="A25" s="2" t="s">
        <v>41</v>
      </c>
      <c r="B25" s="2" t="s">
        <v>42</v>
      </c>
      <c r="C25" s="2" t="s">
        <v>16</v>
      </c>
      <c r="D25" s="2" t="s">
        <v>43</v>
      </c>
      <c r="E25" s="2" t="s">
        <v>18</v>
      </c>
      <c r="F25" s="2" t="s">
        <v>44</v>
      </c>
      <c r="G25" s="2" t="s">
        <v>32</v>
      </c>
      <c r="H25" s="2" t="s">
        <v>33</v>
      </c>
      <c r="I25" s="2" t="s">
        <v>34</v>
      </c>
      <c r="J25" s="2" t="s">
        <v>27</v>
      </c>
      <c r="K25" s="2" t="s">
        <v>28</v>
      </c>
      <c r="L25" s="2" t="s">
        <v>151</v>
      </c>
      <c r="M25" s="3">
        <v>4</v>
      </c>
      <c r="N25" s="3"/>
      <c r="O25" s="3"/>
      <c r="P25" s="3">
        <v>5</v>
      </c>
    </row>
    <row r="26" spans="1:16" ht="96" customHeight="1">
      <c r="A26" s="2" t="s">
        <v>41</v>
      </c>
      <c r="B26" s="2" t="s">
        <v>42</v>
      </c>
      <c r="C26" s="2" t="s">
        <v>16</v>
      </c>
      <c r="D26" s="2" t="s">
        <v>43</v>
      </c>
      <c r="E26" s="2" t="s">
        <v>18</v>
      </c>
      <c r="F26" s="2" t="s">
        <v>44</v>
      </c>
      <c r="G26" s="2" t="s">
        <v>35</v>
      </c>
      <c r="H26" s="2" t="s">
        <v>36</v>
      </c>
      <c r="I26" s="2" t="s">
        <v>37</v>
      </c>
      <c r="J26" s="2" t="s">
        <v>23</v>
      </c>
      <c r="K26" s="2" t="s">
        <v>24</v>
      </c>
      <c r="L26" s="2" t="s">
        <v>152</v>
      </c>
      <c r="M26" s="3">
        <v>4</v>
      </c>
      <c r="N26" s="3"/>
      <c r="O26" s="3"/>
      <c r="P26" s="3">
        <v>3</v>
      </c>
    </row>
    <row r="27" spans="1:16" ht="96" customHeight="1">
      <c r="A27" s="2" t="s">
        <v>41</v>
      </c>
      <c r="B27" s="2" t="s">
        <v>42</v>
      </c>
      <c r="C27" s="2" t="s">
        <v>16</v>
      </c>
      <c r="D27" s="2" t="s">
        <v>43</v>
      </c>
      <c r="E27" s="2" t="s">
        <v>18</v>
      </c>
      <c r="F27" s="2" t="s">
        <v>44</v>
      </c>
      <c r="G27" s="2" t="s">
        <v>35</v>
      </c>
      <c r="H27" s="2" t="s">
        <v>36</v>
      </c>
      <c r="I27" s="2" t="s">
        <v>37</v>
      </c>
      <c r="J27" s="2" t="s">
        <v>25</v>
      </c>
      <c r="K27" s="2" t="s">
        <v>26</v>
      </c>
      <c r="L27" s="2" t="s">
        <v>153</v>
      </c>
      <c r="M27" s="3">
        <v>4.5</v>
      </c>
      <c r="N27" s="3"/>
      <c r="O27" s="3"/>
      <c r="P27" s="3">
        <v>5</v>
      </c>
    </row>
    <row r="28" spans="1:16" ht="96" customHeight="1">
      <c r="A28" s="2" t="s">
        <v>41</v>
      </c>
      <c r="B28" s="2" t="s">
        <v>42</v>
      </c>
      <c r="C28" s="2" t="s">
        <v>16</v>
      </c>
      <c r="D28" s="2" t="s">
        <v>43</v>
      </c>
      <c r="E28" s="2" t="s">
        <v>18</v>
      </c>
      <c r="F28" s="2" t="s">
        <v>44</v>
      </c>
      <c r="G28" s="2" t="s">
        <v>35</v>
      </c>
      <c r="H28" s="2" t="s">
        <v>36</v>
      </c>
      <c r="I28" s="2" t="s">
        <v>37</v>
      </c>
      <c r="J28" s="2" t="s">
        <v>27</v>
      </c>
      <c r="K28" s="2" t="s">
        <v>28</v>
      </c>
      <c r="L28" s="2" t="s">
        <v>154</v>
      </c>
      <c r="M28" s="3">
        <v>4</v>
      </c>
      <c r="N28" s="3"/>
      <c r="O28" s="3"/>
      <c r="P28" s="3">
        <v>4</v>
      </c>
    </row>
    <row r="29" spans="1:16" ht="96" customHeight="1">
      <c r="A29" s="2" t="s">
        <v>41</v>
      </c>
      <c r="B29" s="2" t="s">
        <v>42</v>
      </c>
      <c r="C29" s="2" t="s">
        <v>16</v>
      </c>
      <c r="D29" s="2" t="s">
        <v>43</v>
      </c>
      <c r="E29" s="2" t="s">
        <v>18</v>
      </c>
      <c r="F29" s="2" t="s">
        <v>44</v>
      </c>
      <c r="G29" s="2" t="s">
        <v>38</v>
      </c>
      <c r="H29" s="2" t="s">
        <v>39</v>
      </c>
      <c r="I29" s="2" t="s">
        <v>40</v>
      </c>
      <c r="J29" s="2" t="s">
        <v>23</v>
      </c>
      <c r="K29" s="2" t="s">
        <v>24</v>
      </c>
      <c r="L29" s="2" t="s">
        <v>155</v>
      </c>
      <c r="M29" s="3">
        <v>3</v>
      </c>
      <c r="N29" s="3"/>
      <c r="O29" s="3"/>
      <c r="P29" s="3">
        <v>3</v>
      </c>
    </row>
    <row r="30" spans="1:16" ht="96" customHeight="1">
      <c r="A30" s="2" t="s">
        <v>41</v>
      </c>
      <c r="B30" s="2" t="s">
        <v>42</v>
      </c>
      <c r="C30" s="2" t="s">
        <v>16</v>
      </c>
      <c r="D30" s="2" t="s">
        <v>43</v>
      </c>
      <c r="E30" s="2" t="s">
        <v>18</v>
      </c>
      <c r="F30" s="2" t="s">
        <v>44</v>
      </c>
      <c r="G30" s="2" t="s">
        <v>38</v>
      </c>
      <c r="H30" s="2" t="s">
        <v>39</v>
      </c>
      <c r="I30" s="2" t="s">
        <v>40</v>
      </c>
      <c r="J30" s="2" t="s">
        <v>25</v>
      </c>
      <c r="K30" s="2" t="s">
        <v>26</v>
      </c>
      <c r="L30" s="2" t="s">
        <v>156</v>
      </c>
      <c r="M30" s="3">
        <v>4</v>
      </c>
      <c r="N30" s="3"/>
      <c r="O30" s="3"/>
      <c r="P30" s="3">
        <v>4</v>
      </c>
    </row>
    <row r="31" spans="1:16" ht="96" customHeight="1">
      <c r="A31" s="2" t="s">
        <v>41</v>
      </c>
      <c r="B31" s="2" t="s">
        <v>42</v>
      </c>
      <c r="C31" s="2" t="s">
        <v>16</v>
      </c>
      <c r="D31" s="2" t="s">
        <v>43</v>
      </c>
      <c r="E31" s="2" t="s">
        <v>18</v>
      </c>
      <c r="F31" s="2" t="s">
        <v>44</v>
      </c>
      <c r="G31" s="2" t="s">
        <v>38</v>
      </c>
      <c r="H31" s="2" t="s">
        <v>39</v>
      </c>
      <c r="I31" s="2" t="s">
        <v>40</v>
      </c>
      <c r="J31" s="2" t="s">
        <v>27</v>
      </c>
      <c r="K31" s="2" t="s">
        <v>28</v>
      </c>
      <c r="L31" s="2" t="s">
        <v>157</v>
      </c>
      <c r="M31" s="3">
        <v>3</v>
      </c>
      <c r="N31" s="3"/>
      <c r="O31" s="3"/>
      <c r="P31" s="3">
        <v>3</v>
      </c>
    </row>
    <row r="32" spans="1:16" ht="96" customHeight="1">
      <c r="A32" s="2" t="s">
        <v>45</v>
      </c>
      <c r="B32" s="2" t="s">
        <v>42</v>
      </c>
      <c r="C32" s="2" t="s">
        <v>46</v>
      </c>
      <c r="D32" s="2" t="s">
        <v>47</v>
      </c>
      <c r="E32" s="2" t="s">
        <v>48</v>
      </c>
      <c r="F32" s="2" t="s">
        <v>49</v>
      </c>
      <c r="G32" s="2" t="s">
        <v>20</v>
      </c>
      <c r="H32" s="2" t="s">
        <v>21</v>
      </c>
      <c r="I32" s="2" t="s">
        <v>22</v>
      </c>
      <c r="J32" s="2" t="s">
        <v>23</v>
      </c>
      <c r="K32" s="2" t="s">
        <v>24</v>
      </c>
      <c r="L32" s="2" t="s">
        <v>158</v>
      </c>
      <c r="M32" s="3">
        <v>4</v>
      </c>
      <c r="N32" s="3"/>
      <c r="O32" s="3"/>
      <c r="P32" s="3">
        <v>5</v>
      </c>
    </row>
    <row r="33" spans="1:16" ht="96" customHeight="1">
      <c r="A33" s="2" t="s">
        <v>45</v>
      </c>
      <c r="B33" s="2" t="s">
        <v>42</v>
      </c>
      <c r="C33" s="2" t="s">
        <v>46</v>
      </c>
      <c r="D33" s="2" t="s">
        <v>47</v>
      </c>
      <c r="E33" s="2" t="s">
        <v>48</v>
      </c>
      <c r="F33" s="2" t="s">
        <v>49</v>
      </c>
      <c r="G33" s="2" t="s">
        <v>20</v>
      </c>
      <c r="H33" s="2" t="s">
        <v>21</v>
      </c>
      <c r="I33" s="2" t="s">
        <v>22</v>
      </c>
      <c r="J33" s="2" t="s">
        <v>25</v>
      </c>
      <c r="K33" s="2" t="s">
        <v>26</v>
      </c>
      <c r="L33" s="2" t="s">
        <v>159</v>
      </c>
      <c r="M33" s="3">
        <v>4</v>
      </c>
      <c r="N33" s="3"/>
      <c r="O33" s="3"/>
      <c r="P33" s="3">
        <v>5</v>
      </c>
    </row>
    <row r="34" spans="1:16" ht="96" customHeight="1">
      <c r="A34" s="2" t="s">
        <v>45</v>
      </c>
      <c r="B34" s="2" t="s">
        <v>42</v>
      </c>
      <c r="C34" s="2" t="s">
        <v>46</v>
      </c>
      <c r="D34" s="2" t="s">
        <v>47</v>
      </c>
      <c r="E34" s="2" t="s">
        <v>48</v>
      </c>
      <c r="F34" s="2" t="s">
        <v>49</v>
      </c>
      <c r="G34" s="2" t="s">
        <v>20</v>
      </c>
      <c r="H34" s="2" t="s">
        <v>21</v>
      </c>
      <c r="I34" s="2" t="s">
        <v>22</v>
      </c>
      <c r="J34" s="2" t="s">
        <v>27</v>
      </c>
      <c r="K34" s="2" t="s">
        <v>28</v>
      </c>
      <c r="L34" s="2" t="s">
        <v>160</v>
      </c>
      <c r="M34" s="3">
        <v>4</v>
      </c>
      <c r="N34" s="3"/>
      <c r="O34" s="3"/>
      <c r="P34" s="3">
        <v>5</v>
      </c>
    </row>
    <row r="35" spans="1:16" ht="96" customHeight="1">
      <c r="A35" s="2" t="s">
        <v>45</v>
      </c>
      <c r="B35" s="2" t="s">
        <v>42</v>
      </c>
      <c r="C35" s="2" t="s">
        <v>46</v>
      </c>
      <c r="D35" s="2" t="s">
        <v>47</v>
      </c>
      <c r="E35" s="2" t="s">
        <v>48</v>
      </c>
      <c r="F35" s="2" t="s">
        <v>49</v>
      </c>
      <c r="G35" s="2" t="s">
        <v>29</v>
      </c>
      <c r="H35" s="2" t="s">
        <v>30</v>
      </c>
      <c r="I35" s="2" t="s">
        <v>31</v>
      </c>
      <c r="J35" s="2" t="s">
        <v>23</v>
      </c>
      <c r="K35" s="2" t="s">
        <v>24</v>
      </c>
      <c r="L35" s="2" t="s">
        <v>161</v>
      </c>
      <c r="M35" s="3">
        <v>3</v>
      </c>
      <c r="N35" s="3"/>
      <c r="O35" s="3"/>
      <c r="P35" s="3">
        <v>3</v>
      </c>
    </row>
    <row r="36" spans="1:16" ht="96" customHeight="1">
      <c r="A36" s="2" t="s">
        <v>45</v>
      </c>
      <c r="B36" s="2" t="s">
        <v>42</v>
      </c>
      <c r="C36" s="2" t="s">
        <v>46</v>
      </c>
      <c r="D36" s="2" t="s">
        <v>47</v>
      </c>
      <c r="E36" s="2" t="s">
        <v>48</v>
      </c>
      <c r="F36" s="2" t="s">
        <v>49</v>
      </c>
      <c r="G36" s="2" t="s">
        <v>29</v>
      </c>
      <c r="H36" s="2" t="s">
        <v>30</v>
      </c>
      <c r="I36" s="2" t="s">
        <v>31</v>
      </c>
      <c r="J36" s="2" t="s">
        <v>25</v>
      </c>
      <c r="K36" s="2" t="s">
        <v>26</v>
      </c>
      <c r="L36" s="2" t="s">
        <v>162</v>
      </c>
      <c r="M36" s="3">
        <v>4</v>
      </c>
      <c r="N36" s="3"/>
      <c r="O36" s="3"/>
      <c r="P36" s="3">
        <v>4</v>
      </c>
    </row>
    <row r="37" spans="1:16" ht="96" customHeight="1">
      <c r="A37" s="2" t="s">
        <v>45</v>
      </c>
      <c r="B37" s="2" t="s">
        <v>42</v>
      </c>
      <c r="C37" s="2" t="s">
        <v>46</v>
      </c>
      <c r="D37" s="2" t="s">
        <v>47</v>
      </c>
      <c r="E37" s="2" t="s">
        <v>48</v>
      </c>
      <c r="F37" s="2" t="s">
        <v>49</v>
      </c>
      <c r="G37" s="2" t="s">
        <v>29</v>
      </c>
      <c r="H37" s="2" t="s">
        <v>30</v>
      </c>
      <c r="I37" s="2" t="s">
        <v>31</v>
      </c>
      <c r="J37" s="2" t="s">
        <v>27</v>
      </c>
      <c r="K37" s="2" t="s">
        <v>28</v>
      </c>
      <c r="L37" s="2" t="s">
        <v>163</v>
      </c>
      <c r="M37" s="3">
        <v>3</v>
      </c>
      <c r="N37" s="3"/>
      <c r="O37" s="3"/>
      <c r="P37" s="3">
        <v>3</v>
      </c>
    </row>
    <row r="38" spans="1:16" ht="96" customHeight="1">
      <c r="A38" s="2" t="s">
        <v>45</v>
      </c>
      <c r="B38" s="2" t="s">
        <v>42</v>
      </c>
      <c r="C38" s="2" t="s">
        <v>46</v>
      </c>
      <c r="D38" s="2" t="s">
        <v>47</v>
      </c>
      <c r="E38" s="2" t="s">
        <v>48</v>
      </c>
      <c r="F38" s="2" t="s">
        <v>49</v>
      </c>
      <c r="G38" s="2" t="s">
        <v>32</v>
      </c>
      <c r="H38" s="2" t="s">
        <v>33</v>
      </c>
      <c r="I38" s="2" t="s">
        <v>34</v>
      </c>
      <c r="J38" s="2" t="s">
        <v>23</v>
      </c>
      <c r="K38" s="2" t="s">
        <v>24</v>
      </c>
      <c r="L38" s="2" t="s">
        <v>164</v>
      </c>
      <c r="M38" s="3">
        <v>4.5</v>
      </c>
      <c r="N38" s="3"/>
      <c r="O38" s="3"/>
      <c r="P38" s="3">
        <v>5</v>
      </c>
    </row>
    <row r="39" spans="1:16" ht="96" customHeight="1">
      <c r="A39" s="2" t="s">
        <v>45</v>
      </c>
      <c r="B39" s="2" t="s">
        <v>42</v>
      </c>
      <c r="C39" s="2" t="s">
        <v>46</v>
      </c>
      <c r="D39" s="2" t="s">
        <v>47</v>
      </c>
      <c r="E39" s="2" t="s">
        <v>48</v>
      </c>
      <c r="F39" s="2" t="s">
        <v>49</v>
      </c>
      <c r="G39" s="2" t="s">
        <v>32</v>
      </c>
      <c r="H39" s="2" t="s">
        <v>33</v>
      </c>
      <c r="I39" s="2" t="s">
        <v>34</v>
      </c>
      <c r="J39" s="2" t="s">
        <v>25</v>
      </c>
      <c r="K39" s="2" t="s">
        <v>26</v>
      </c>
      <c r="L39" s="2" t="s">
        <v>165</v>
      </c>
      <c r="M39" s="3">
        <v>4</v>
      </c>
      <c r="N39" s="3"/>
      <c r="O39" s="3"/>
      <c r="P39" s="3">
        <v>5</v>
      </c>
    </row>
    <row r="40" spans="1:16" ht="96" customHeight="1">
      <c r="A40" s="2" t="s">
        <v>45</v>
      </c>
      <c r="B40" s="2" t="s">
        <v>42</v>
      </c>
      <c r="C40" s="2" t="s">
        <v>46</v>
      </c>
      <c r="D40" s="2" t="s">
        <v>47</v>
      </c>
      <c r="E40" s="2" t="s">
        <v>48</v>
      </c>
      <c r="F40" s="2" t="s">
        <v>49</v>
      </c>
      <c r="G40" s="2" t="s">
        <v>32</v>
      </c>
      <c r="H40" s="2" t="s">
        <v>33</v>
      </c>
      <c r="I40" s="2" t="s">
        <v>34</v>
      </c>
      <c r="J40" s="2" t="s">
        <v>27</v>
      </c>
      <c r="K40" s="2" t="s">
        <v>28</v>
      </c>
      <c r="L40" s="2" t="s">
        <v>50</v>
      </c>
      <c r="M40" s="3">
        <v>4</v>
      </c>
      <c r="N40" s="3"/>
      <c r="O40" s="3"/>
      <c r="P40" s="3">
        <v>5</v>
      </c>
    </row>
    <row r="41" spans="1:16" ht="96" customHeight="1">
      <c r="A41" s="2" t="s">
        <v>45</v>
      </c>
      <c r="B41" s="2" t="s">
        <v>42</v>
      </c>
      <c r="C41" s="2" t="s">
        <v>46</v>
      </c>
      <c r="D41" s="2" t="s">
        <v>47</v>
      </c>
      <c r="E41" s="2" t="s">
        <v>48</v>
      </c>
      <c r="F41" s="2" t="s">
        <v>49</v>
      </c>
      <c r="G41" s="2" t="s">
        <v>35</v>
      </c>
      <c r="H41" s="2" t="s">
        <v>36</v>
      </c>
      <c r="I41" s="2" t="s">
        <v>37</v>
      </c>
      <c r="J41" s="2" t="s">
        <v>23</v>
      </c>
      <c r="K41" s="2" t="s">
        <v>24</v>
      </c>
      <c r="L41" s="2" t="s">
        <v>166</v>
      </c>
      <c r="M41" s="3">
        <v>4.5</v>
      </c>
      <c r="N41" s="3"/>
      <c r="O41" s="3"/>
      <c r="P41" s="3">
        <v>5</v>
      </c>
    </row>
    <row r="42" spans="1:16" ht="96" customHeight="1">
      <c r="A42" s="2" t="s">
        <v>45</v>
      </c>
      <c r="B42" s="2" t="s">
        <v>42</v>
      </c>
      <c r="C42" s="2" t="s">
        <v>46</v>
      </c>
      <c r="D42" s="2" t="s">
        <v>47</v>
      </c>
      <c r="E42" s="2" t="s">
        <v>48</v>
      </c>
      <c r="F42" s="2" t="s">
        <v>49</v>
      </c>
      <c r="G42" s="2" t="s">
        <v>35</v>
      </c>
      <c r="H42" s="2" t="s">
        <v>36</v>
      </c>
      <c r="I42" s="2" t="s">
        <v>37</v>
      </c>
      <c r="J42" s="2" t="s">
        <v>25</v>
      </c>
      <c r="K42" s="2" t="s">
        <v>26</v>
      </c>
      <c r="L42" s="2" t="s">
        <v>167</v>
      </c>
      <c r="M42" s="3">
        <v>4.5</v>
      </c>
      <c r="N42" s="3"/>
      <c r="O42" s="3"/>
      <c r="P42" s="3">
        <v>5</v>
      </c>
    </row>
    <row r="43" spans="1:16" ht="96" customHeight="1">
      <c r="A43" s="2" t="s">
        <v>45</v>
      </c>
      <c r="B43" s="2" t="s">
        <v>42</v>
      </c>
      <c r="C43" s="2" t="s">
        <v>46</v>
      </c>
      <c r="D43" s="2" t="s">
        <v>47</v>
      </c>
      <c r="E43" s="2" t="s">
        <v>48</v>
      </c>
      <c r="F43" s="2" t="s">
        <v>49</v>
      </c>
      <c r="G43" s="2" t="s">
        <v>35</v>
      </c>
      <c r="H43" s="2" t="s">
        <v>36</v>
      </c>
      <c r="I43" s="2" t="s">
        <v>37</v>
      </c>
      <c r="J43" s="2" t="s">
        <v>27</v>
      </c>
      <c r="K43" s="2" t="s">
        <v>28</v>
      </c>
      <c r="L43" s="2" t="s">
        <v>168</v>
      </c>
      <c r="M43" s="3">
        <v>4</v>
      </c>
      <c r="N43" s="3"/>
      <c r="O43" s="3"/>
      <c r="P43" s="3">
        <v>4</v>
      </c>
    </row>
    <row r="44" spans="1:16" ht="96" customHeight="1">
      <c r="A44" s="2" t="s">
        <v>45</v>
      </c>
      <c r="B44" s="2" t="s">
        <v>42</v>
      </c>
      <c r="C44" s="2" t="s">
        <v>46</v>
      </c>
      <c r="D44" s="2" t="s">
        <v>47</v>
      </c>
      <c r="E44" s="2" t="s">
        <v>48</v>
      </c>
      <c r="F44" s="2" t="s">
        <v>49</v>
      </c>
      <c r="G44" s="2" t="s">
        <v>38</v>
      </c>
      <c r="H44" s="2" t="s">
        <v>39</v>
      </c>
      <c r="I44" s="2" t="s">
        <v>40</v>
      </c>
      <c r="J44" s="2" t="s">
        <v>23</v>
      </c>
      <c r="K44" s="2" t="s">
        <v>24</v>
      </c>
      <c r="L44" s="2" t="s">
        <v>169</v>
      </c>
      <c r="M44" s="3">
        <v>4</v>
      </c>
      <c r="N44" s="3"/>
      <c r="O44" s="3"/>
      <c r="P44" s="3">
        <v>3</v>
      </c>
    </row>
    <row r="45" spans="1:16" ht="96" customHeight="1">
      <c r="A45" s="2" t="s">
        <v>45</v>
      </c>
      <c r="B45" s="2" t="s">
        <v>42</v>
      </c>
      <c r="C45" s="2" t="s">
        <v>46</v>
      </c>
      <c r="D45" s="2" t="s">
        <v>47</v>
      </c>
      <c r="E45" s="2" t="s">
        <v>48</v>
      </c>
      <c r="F45" s="2" t="s">
        <v>49</v>
      </c>
      <c r="G45" s="2" t="s">
        <v>38</v>
      </c>
      <c r="H45" s="2" t="s">
        <v>39</v>
      </c>
      <c r="I45" s="2" t="s">
        <v>40</v>
      </c>
      <c r="J45" s="2" t="s">
        <v>25</v>
      </c>
      <c r="K45" s="2" t="s">
        <v>26</v>
      </c>
      <c r="L45" s="2" t="s">
        <v>170</v>
      </c>
      <c r="M45" s="3">
        <v>4</v>
      </c>
      <c r="N45" s="3"/>
      <c r="O45" s="3"/>
      <c r="P45" s="3">
        <v>4</v>
      </c>
    </row>
    <row r="46" spans="1:16" ht="96" customHeight="1">
      <c r="A46" s="2" t="s">
        <v>45</v>
      </c>
      <c r="B46" s="2" t="s">
        <v>42</v>
      </c>
      <c r="C46" s="2" t="s">
        <v>46</v>
      </c>
      <c r="D46" s="2" t="s">
        <v>47</v>
      </c>
      <c r="E46" s="2" t="s">
        <v>48</v>
      </c>
      <c r="F46" s="2" t="s">
        <v>49</v>
      </c>
      <c r="G46" s="2" t="s">
        <v>38</v>
      </c>
      <c r="H46" s="2" t="s">
        <v>39</v>
      </c>
      <c r="I46" s="2" t="s">
        <v>40</v>
      </c>
      <c r="J46" s="2" t="s">
        <v>27</v>
      </c>
      <c r="K46" s="2" t="s">
        <v>28</v>
      </c>
      <c r="L46" s="2" t="s">
        <v>171</v>
      </c>
      <c r="M46" s="3">
        <v>4</v>
      </c>
      <c r="N46" s="3"/>
      <c r="O46" s="3"/>
      <c r="P46" s="3">
        <v>4</v>
      </c>
    </row>
    <row r="47" spans="1:16" ht="96" customHeight="1">
      <c r="A47" s="2" t="s">
        <v>51</v>
      </c>
      <c r="B47" s="2" t="s">
        <v>52</v>
      </c>
      <c r="C47" s="2" t="s">
        <v>53</v>
      </c>
      <c r="D47" s="2" t="s">
        <v>54</v>
      </c>
      <c r="E47" s="2" t="s">
        <v>55</v>
      </c>
      <c r="F47" s="2" t="s">
        <v>56</v>
      </c>
      <c r="G47" s="2" t="s">
        <v>20</v>
      </c>
      <c r="H47" s="2" t="s">
        <v>21</v>
      </c>
      <c r="I47" s="2" t="s">
        <v>22</v>
      </c>
      <c r="J47" s="2" t="s">
        <v>23</v>
      </c>
      <c r="K47" s="2" t="s">
        <v>24</v>
      </c>
      <c r="L47" s="2" t="s">
        <v>172</v>
      </c>
      <c r="M47" s="3">
        <v>4.5</v>
      </c>
      <c r="N47" s="3"/>
      <c r="O47" s="3"/>
      <c r="P47" s="3">
        <v>5</v>
      </c>
    </row>
    <row r="48" spans="1:16" ht="96" customHeight="1">
      <c r="A48" s="2" t="s">
        <v>51</v>
      </c>
      <c r="B48" s="2" t="s">
        <v>52</v>
      </c>
      <c r="C48" s="2" t="s">
        <v>53</v>
      </c>
      <c r="D48" s="2" t="s">
        <v>54</v>
      </c>
      <c r="E48" s="2" t="s">
        <v>55</v>
      </c>
      <c r="F48" s="2" t="s">
        <v>56</v>
      </c>
      <c r="G48" s="2" t="s">
        <v>20</v>
      </c>
      <c r="H48" s="2" t="s">
        <v>21</v>
      </c>
      <c r="I48" s="2" t="s">
        <v>22</v>
      </c>
      <c r="J48" s="2" t="s">
        <v>25</v>
      </c>
      <c r="K48" s="2" t="s">
        <v>26</v>
      </c>
      <c r="L48" s="2" t="s">
        <v>173</v>
      </c>
      <c r="M48" s="3">
        <v>4.5</v>
      </c>
      <c r="N48" s="3"/>
      <c r="O48" s="3"/>
      <c r="P48" s="3">
        <v>5</v>
      </c>
    </row>
    <row r="49" spans="1:16" ht="96" customHeight="1">
      <c r="A49" s="2" t="s">
        <v>51</v>
      </c>
      <c r="B49" s="2" t="s">
        <v>52</v>
      </c>
      <c r="C49" s="2" t="s">
        <v>53</v>
      </c>
      <c r="D49" s="2" t="s">
        <v>54</v>
      </c>
      <c r="E49" s="2" t="s">
        <v>55</v>
      </c>
      <c r="F49" s="2" t="s">
        <v>56</v>
      </c>
      <c r="G49" s="2" t="s">
        <v>20</v>
      </c>
      <c r="H49" s="2" t="s">
        <v>21</v>
      </c>
      <c r="I49" s="2" t="s">
        <v>22</v>
      </c>
      <c r="J49" s="2" t="s">
        <v>27</v>
      </c>
      <c r="K49" s="2" t="s">
        <v>28</v>
      </c>
      <c r="L49" s="2" t="s">
        <v>174</v>
      </c>
      <c r="M49" s="3">
        <v>4</v>
      </c>
      <c r="N49" s="3"/>
      <c r="O49" s="3"/>
      <c r="P49" s="3">
        <v>5</v>
      </c>
    </row>
    <row r="50" spans="1:16" ht="96" customHeight="1">
      <c r="A50" s="2" t="s">
        <v>51</v>
      </c>
      <c r="B50" s="2" t="s">
        <v>52</v>
      </c>
      <c r="C50" s="2" t="s">
        <v>53</v>
      </c>
      <c r="D50" s="2" t="s">
        <v>54</v>
      </c>
      <c r="E50" s="2" t="s">
        <v>55</v>
      </c>
      <c r="F50" s="2" t="s">
        <v>56</v>
      </c>
      <c r="G50" s="2" t="s">
        <v>29</v>
      </c>
      <c r="H50" s="2" t="s">
        <v>30</v>
      </c>
      <c r="I50" s="2" t="s">
        <v>31</v>
      </c>
      <c r="J50" s="2" t="s">
        <v>23</v>
      </c>
      <c r="K50" s="2" t="s">
        <v>24</v>
      </c>
      <c r="L50" s="2" t="s">
        <v>175</v>
      </c>
      <c r="M50" s="3">
        <v>4.5</v>
      </c>
      <c r="N50" s="3"/>
      <c r="O50" s="3"/>
      <c r="P50" s="3">
        <v>5</v>
      </c>
    </row>
    <row r="51" spans="1:16" ht="96" customHeight="1">
      <c r="A51" s="2" t="s">
        <v>51</v>
      </c>
      <c r="B51" s="2" t="s">
        <v>52</v>
      </c>
      <c r="C51" s="2" t="s">
        <v>53</v>
      </c>
      <c r="D51" s="2" t="s">
        <v>54</v>
      </c>
      <c r="E51" s="2" t="s">
        <v>55</v>
      </c>
      <c r="F51" s="2" t="s">
        <v>56</v>
      </c>
      <c r="G51" s="2" t="s">
        <v>29</v>
      </c>
      <c r="H51" s="2" t="s">
        <v>30</v>
      </c>
      <c r="I51" s="2" t="s">
        <v>31</v>
      </c>
      <c r="J51" s="2" t="s">
        <v>25</v>
      </c>
      <c r="K51" s="2" t="s">
        <v>26</v>
      </c>
      <c r="L51" s="2" t="s">
        <v>176</v>
      </c>
      <c r="M51" s="3">
        <v>4.5</v>
      </c>
      <c r="N51" s="3"/>
      <c r="O51" s="3"/>
      <c r="P51" s="3">
        <v>5</v>
      </c>
    </row>
    <row r="52" spans="1:16" ht="96" customHeight="1">
      <c r="A52" s="2" t="s">
        <v>51</v>
      </c>
      <c r="B52" s="2" t="s">
        <v>52</v>
      </c>
      <c r="C52" s="2" t="s">
        <v>53</v>
      </c>
      <c r="D52" s="2" t="s">
        <v>54</v>
      </c>
      <c r="E52" s="2" t="s">
        <v>55</v>
      </c>
      <c r="F52" s="2" t="s">
        <v>56</v>
      </c>
      <c r="G52" s="2" t="s">
        <v>29</v>
      </c>
      <c r="H52" s="2" t="s">
        <v>30</v>
      </c>
      <c r="I52" s="2" t="s">
        <v>31</v>
      </c>
      <c r="J52" s="2" t="s">
        <v>27</v>
      </c>
      <c r="K52" s="2" t="s">
        <v>28</v>
      </c>
      <c r="L52" s="2" t="s">
        <v>177</v>
      </c>
      <c r="M52" s="3">
        <v>4</v>
      </c>
      <c r="N52" s="3"/>
      <c r="O52" s="3"/>
      <c r="P52" s="3">
        <v>5</v>
      </c>
    </row>
    <row r="53" spans="1:16" ht="96" customHeight="1">
      <c r="A53" s="2" t="s">
        <v>51</v>
      </c>
      <c r="B53" s="2" t="s">
        <v>52</v>
      </c>
      <c r="C53" s="2" t="s">
        <v>53</v>
      </c>
      <c r="D53" s="2" t="s">
        <v>54</v>
      </c>
      <c r="E53" s="2" t="s">
        <v>55</v>
      </c>
      <c r="F53" s="2" t="s">
        <v>56</v>
      </c>
      <c r="G53" s="2" t="s">
        <v>32</v>
      </c>
      <c r="H53" s="2" t="s">
        <v>33</v>
      </c>
      <c r="I53" s="2" t="s">
        <v>34</v>
      </c>
      <c r="J53" s="2" t="s">
        <v>23</v>
      </c>
      <c r="K53" s="2" t="s">
        <v>24</v>
      </c>
      <c r="L53" s="2" t="s">
        <v>178</v>
      </c>
      <c r="M53" s="3">
        <v>4.5</v>
      </c>
      <c r="N53" s="3"/>
      <c r="O53" s="3"/>
      <c r="P53" s="3">
        <v>5</v>
      </c>
    </row>
    <row r="54" spans="1:16" ht="96" customHeight="1">
      <c r="A54" s="2" t="s">
        <v>51</v>
      </c>
      <c r="B54" s="2" t="s">
        <v>52</v>
      </c>
      <c r="C54" s="2" t="s">
        <v>53</v>
      </c>
      <c r="D54" s="2" t="s">
        <v>54</v>
      </c>
      <c r="E54" s="2" t="s">
        <v>55</v>
      </c>
      <c r="F54" s="2" t="s">
        <v>56</v>
      </c>
      <c r="G54" s="2" t="s">
        <v>32</v>
      </c>
      <c r="H54" s="2" t="s">
        <v>33</v>
      </c>
      <c r="I54" s="2" t="s">
        <v>34</v>
      </c>
      <c r="J54" s="2" t="s">
        <v>25</v>
      </c>
      <c r="K54" s="2" t="s">
        <v>26</v>
      </c>
      <c r="L54" s="2" t="s">
        <v>179</v>
      </c>
      <c r="M54" s="3">
        <v>4</v>
      </c>
      <c r="N54" s="3"/>
      <c r="O54" s="3"/>
      <c r="P54" s="3">
        <v>4</v>
      </c>
    </row>
    <row r="55" spans="1:16" ht="96" customHeight="1">
      <c r="A55" s="2" t="s">
        <v>51</v>
      </c>
      <c r="B55" s="2" t="s">
        <v>52</v>
      </c>
      <c r="C55" s="2" t="s">
        <v>53</v>
      </c>
      <c r="D55" s="2" t="s">
        <v>54</v>
      </c>
      <c r="E55" s="2" t="s">
        <v>55</v>
      </c>
      <c r="F55" s="2" t="s">
        <v>56</v>
      </c>
      <c r="G55" s="2" t="s">
        <v>32</v>
      </c>
      <c r="H55" s="2" t="s">
        <v>33</v>
      </c>
      <c r="I55" s="2" t="s">
        <v>34</v>
      </c>
      <c r="J55" s="2" t="s">
        <v>27</v>
      </c>
      <c r="K55" s="2" t="s">
        <v>28</v>
      </c>
      <c r="L55" s="2" t="s">
        <v>180</v>
      </c>
      <c r="M55" s="3">
        <v>4</v>
      </c>
      <c r="N55" s="3"/>
      <c r="O55" s="3"/>
      <c r="P55" s="3">
        <v>4</v>
      </c>
    </row>
    <row r="56" spans="1:16" ht="96" customHeight="1">
      <c r="A56" s="2" t="s">
        <v>51</v>
      </c>
      <c r="B56" s="2" t="s">
        <v>52</v>
      </c>
      <c r="C56" s="2" t="s">
        <v>53</v>
      </c>
      <c r="D56" s="2" t="s">
        <v>54</v>
      </c>
      <c r="E56" s="2" t="s">
        <v>55</v>
      </c>
      <c r="F56" s="2" t="s">
        <v>56</v>
      </c>
      <c r="G56" s="2" t="s">
        <v>35</v>
      </c>
      <c r="H56" s="2" t="s">
        <v>36</v>
      </c>
      <c r="I56" s="2" t="s">
        <v>37</v>
      </c>
      <c r="J56" s="2" t="s">
        <v>23</v>
      </c>
      <c r="K56" s="2" t="s">
        <v>24</v>
      </c>
      <c r="L56" s="2" t="s">
        <v>181</v>
      </c>
      <c r="M56" s="3">
        <v>4</v>
      </c>
      <c r="N56" s="3"/>
      <c r="O56" s="3"/>
      <c r="P56" s="3">
        <v>5</v>
      </c>
    </row>
    <row r="57" spans="1:16" ht="96" customHeight="1">
      <c r="A57" s="2" t="s">
        <v>51</v>
      </c>
      <c r="B57" s="2" t="s">
        <v>52</v>
      </c>
      <c r="C57" s="2" t="s">
        <v>53</v>
      </c>
      <c r="D57" s="2" t="s">
        <v>54</v>
      </c>
      <c r="E57" s="2" t="s">
        <v>55</v>
      </c>
      <c r="F57" s="2" t="s">
        <v>56</v>
      </c>
      <c r="G57" s="2" t="s">
        <v>35</v>
      </c>
      <c r="H57" s="2" t="s">
        <v>36</v>
      </c>
      <c r="I57" s="2" t="s">
        <v>37</v>
      </c>
      <c r="J57" s="2" t="s">
        <v>25</v>
      </c>
      <c r="K57" s="2" t="s">
        <v>26</v>
      </c>
      <c r="L57" s="2" t="s">
        <v>182</v>
      </c>
      <c r="M57" s="3">
        <v>4.5</v>
      </c>
      <c r="N57" s="3"/>
      <c r="O57" s="3"/>
      <c r="P57" s="3">
        <v>5</v>
      </c>
    </row>
    <row r="58" spans="1:16" ht="96" customHeight="1">
      <c r="A58" s="2" t="s">
        <v>51</v>
      </c>
      <c r="B58" s="2" t="s">
        <v>52</v>
      </c>
      <c r="C58" s="2" t="s">
        <v>53</v>
      </c>
      <c r="D58" s="2" t="s">
        <v>54</v>
      </c>
      <c r="E58" s="2" t="s">
        <v>55</v>
      </c>
      <c r="F58" s="2" t="s">
        <v>56</v>
      </c>
      <c r="G58" s="2" t="s">
        <v>35</v>
      </c>
      <c r="H58" s="2" t="s">
        <v>36</v>
      </c>
      <c r="I58" s="2" t="s">
        <v>37</v>
      </c>
      <c r="J58" s="2" t="s">
        <v>27</v>
      </c>
      <c r="K58" s="2" t="s">
        <v>28</v>
      </c>
      <c r="L58" s="2" t="s">
        <v>183</v>
      </c>
      <c r="M58" s="3">
        <v>4</v>
      </c>
      <c r="N58" s="3"/>
      <c r="O58" s="3"/>
      <c r="P58" s="3">
        <v>5</v>
      </c>
    </row>
    <row r="59" spans="1:16" ht="96" customHeight="1">
      <c r="A59" s="2" t="s">
        <v>51</v>
      </c>
      <c r="B59" s="2" t="s">
        <v>52</v>
      </c>
      <c r="C59" s="2" t="s">
        <v>53</v>
      </c>
      <c r="D59" s="2" t="s">
        <v>54</v>
      </c>
      <c r="E59" s="2" t="s">
        <v>55</v>
      </c>
      <c r="F59" s="2" t="s">
        <v>56</v>
      </c>
      <c r="G59" s="2" t="s">
        <v>38</v>
      </c>
      <c r="H59" s="2" t="s">
        <v>39</v>
      </c>
      <c r="I59" s="2" t="s">
        <v>40</v>
      </c>
      <c r="J59" s="2" t="s">
        <v>23</v>
      </c>
      <c r="K59" s="2" t="s">
        <v>24</v>
      </c>
      <c r="L59" s="2" t="s">
        <v>184</v>
      </c>
      <c r="M59" s="3">
        <v>4.5</v>
      </c>
      <c r="N59" s="3"/>
      <c r="O59" s="3"/>
      <c r="P59" s="3">
        <v>5</v>
      </c>
    </row>
    <row r="60" spans="1:16" ht="96" customHeight="1">
      <c r="A60" s="2" t="s">
        <v>51</v>
      </c>
      <c r="B60" s="2" t="s">
        <v>52</v>
      </c>
      <c r="C60" s="2" t="s">
        <v>53</v>
      </c>
      <c r="D60" s="2" t="s">
        <v>54</v>
      </c>
      <c r="E60" s="2" t="s">
        <v>55</v>
      </c>
      <c r="F60" s="2" t="s">
        <v>56</v>
      </c>
      <c r="G60" s="2" t="s">
        <v>38</v>
      </c>
      <c r="H60" s="2" t="s">
        <v>39</v>
      </c>
      <c r="I60" s="2" t="s">
        <v>40</v>
      </c>
      <c r="J60" s="2" t="s">
        <v>25</v>
      </c>
      <c r="K60" s="2" t="s">
        <v>26</v>
      </c>
      <c r="L60" s="2" t="s">
        <v>185</v>
      </c>
      <c r="M60" s="3">
        <v>4.5</v>
      </c>
      <c r="N60" s="3"/>
      <c r="O60" s="3"/>
      <c r="P60" s="3">
        <v>5</v>
      </c>
    </row>
    <row r="61" spans="1:16" ht="96" customHeight="1">
      <c r="A61" s="2" t="s">
        <v>51</v>
      </c>
      <c r="B61" s="2" t="s">
        <v>52</v>
      </c>
      <c r="C61" s="2" t="s">
        <v>53</v>
      </c>
      <c r="D61" s="2" t="s">
        <v>54</v>
      </c>
      <c r="E61" s="2" t="s">
        <v>55</v>
      </c>
      <c r="F61" s="2" t="s">
        <v>56</v>
      </c>
      <c r="G61" s="2" t="s">
        <v>38</v>
      </c>
      <c r="H61" s="2" t="s">
        <v>39</v>
      </c>
      <c r="I61" s="2" t="s">
        <v>40</v>
      </c>
      <c r="J61" s="2" t="s">
        <v>27</v>
      </c>
      <c r="K61" s="2" t="s">
        <v>28</v>
      </c>
      <c r="L61" s="2" t="s">
        <v>186</v>
      </c>
      <c r="M61" s="3">
        <v>3.5</v>
      </c>
      <c r="N61" s="3"/>
      <c r="O61" s="3"/>
      <c r="P61" s="3">
        <v>4</v>
      </c>
    </row>
    <row r="62" spans="1:16" ht="96" customHeight="1">
      <c r="A62" s="2" t="s">
        <v>57</v>
      </c>
      <c r="B62" s="2" t="s">
        <v>52</v>
      </c>
      <c r="C62" s="2" t="s">
        <v>58</v>
      </c>
      <c r="D62" s="2" t="s">
        <v>59</v>
      </c>
      <c r="E62" s="2" t="s">
        <v>60</v>
      </c>
      <c r="F62" s="2" t="s">
        <v>61</v>
      </c>
      <c r="G62" s="2" t="s">
        <v>20</v>
      </c>
      <c r="H62" s="2" t="s">
        <v>21</v>
      </c>
      <c r="I62" s="2" t="s">
        <v>22</v>
      </c>
      <c r="J62" s="2" t="s">
        <v>23</v>
      </c>
      <c r="K62" s="2" t="s">
        <v>24</v>
      </c>
      <c r="L62" s="2" t="s">
        <v>187</v>
      </c>
      <c r="M62" s="3">
        <v>4.5</v>
      </c>
      <c r="N62" s="3"/>
      <c r="O62" s="3"/>
      <c r="P62" s="3">
        <v>5</v>
      </c>
    </row>
    <row r="63" spans="1:16" ht="96" customHeight="1">
      <c r="A63" s="2" t="s">
        <v>57</v>
      </c>
      <c r="B63" s="2" t="s">
        <v>52</v>
      </c>
      <c r="C63" s="2" t="s">
        <v>58</v>
      </c>
      <c r="D63" s="2" t="s">
        <v>59</v>
      </c>
      <c r="E63" s="2" t="s">
        <v>60</v>
      </c>
      <c r="F63" s="2" t="s">
        <v>61</v>
      </c>
      <c r="G63" s="2" t="s">
        <v>20</v>
      </c>
      <c r="H63" s="2" t="s">
        <v>21</v>
      </c>
      <c r="I63" s="2" t="s">
        <v>22</v>
      </c>
      <c r="J63" s="2" t="s">
        <v>25</v>
      </c>
      <c r="K63" s="2" t="s">
        <v>26</v>
      </c>
      <c r="L63" s="2" t="s">
        <v>188</v>
      </c>
      <c r="M63" s="3">
        <v>4.5</v>
      </c>
      <c r="N63" s="3"/>
      <c r="O63" s="3"/>
      <c r="P63" s="3">
        <v>5</v>
      </c>
    </row>
    <row r="64" spans="1:16" ht="96" customHeight="1">
      <c r="A64" s="2" t="s">
        <v>57</v>
      </c>
      <c r="B64" s="2" t="s">
        <v>52</v>
      </c>
      <c r="C64" s="2" t="s">
        <v>58</v>
      </c>
      <c r="D64" s="2" t="s">
        <v>59</v>
      </c>
      <c r="E64" s="2" t="s">
        <v>60</v>
      </c>
      <c r="F64" s="2" t="s">
        <v>61</v>
      </c>
      <c r="G64" s="2" t="s">
        <v>20</v>
      </c>
      <c r="H64" s="2" t="s">
        <v>21</v>
      </c>
      <c r="I64" s="2" t="s">
        <v>22</v>
      </c>
      <c r="J64" s="2" t="s">
        <v>27</v>
      </c>
      <c r="K64" s="2" t="s">
        <v>28</v>
      </c>
      <c r="L64" s="2" t="s">
        <v>189</v>
      </c>
      <c r="M64" s="3">
        <v>4</v>
      </c>
      <c r="N64" s="3"/>
      <c r="O64" s="3"/>
      <c r="P64" s="3">
        <v>5</v>
      </c>
    </row>
    <row r="65" spans="1:16" ht="96" customHeight="1">
      <c r="A65" s="2" t="s">
        <v>57</v>
      </c>
      <c r="B65" s="2" t="s">
        <v>52</v>
      </c>
      <c r="C65" s="2" t="s">
        <v>58</v>
      </c>
      <c r="D65" s="2" t="s">
        <v>59</v>
      </c>
      <c r="E65" s="2" t="s">
        <v>60</v>
      </c>
      <c r="F65" s="2" t="s">
        <v>61</v>
      </c>
      <c r="G65" s="2" t="s">
        <v>29</v>
      </c>
      <c r="H65" s="2" t="s">
        <v>30</v>
      </c>
      <c r="I65" s="2" t="s">
        <v>31</v>
      </c>
      <c r="J65" s="2" t="s">
        <v>23</v>
      </c>
      <c r="K65" s="2" t="s">
        <v>24</v>
      </c>
      <c r="L65" s="2" t="s">
        <v>190</v>
      </c>
      <c r="M65" s="3">
        <v>5</v>
      </c>
      <c r="N65" s="3"/>
      <c r="O65" s="3"/>
      <c r="P65" s="3">
        <v>5</v>
      </c>
    </row>
    <row r="66" spans="1:16" ht="96" customHeight="1">
      <c r="A66" s="2" t="s">
        <v>57</v>
      </c>
      <c r="B66" s="2" t="s">
        <v>52</v>
      </c>
      <c r="C66" s="2" t="s">
        <v>58</v>
      </c>
      <c r="D66" s="2" t="s">
        <v>59</v>
      </c>
      <c r="E66" s="2" t="s">
        <v>60</v>
      </c>
      <c r="F66" s="2" t="s">
        <v>61</v>
      </c>
      <c r="G66" s="2" t="s">
        <v>29</v>
      </c>
      <c r="H66" s="2" t="s">
        <v>30</v>
      </c>
      <c r="I66" s="2" t="s">
        <v>31</v>
      </c>
      <c r="J66" s="2" t="s">
        <v>25</v>
      </c>
      <c r="K66" s="2" t="s">
        <v>26</v>
      </c>
      <c r="L66" s="2" t="s">
        <v>191</v>
      </c>
      <c r="M66" s="3">
        <v>4.5</v>
      </c>
      <c r="N66" s="3"/>
      <c r="O66" s="3"/>
      <c r="P66" s="3">
        <v>4</v>
      </c>
    </row>
    <row r="67" spans="1:16" ht="96" customHeight="1">
      <c r="A67" s="2" t="s">
        <v>57</v>
      </c>
      <c r="B67" s="2" t="s">
        <v>52</v>
      </c>
      <c r="C67" s="2" t="s">
        <v>58</v>
      </c>
      <c r="D67" s="2" t="s">
        <v>59</v>
      </c>
      <c r="E67" s="2" t="s">
        <v>60</v>
      </c>
      <c r="F67" s="2" t="s">
        <v>61</v>
      </c>
      <c r="G67" s="2" t="s">
        <v>29</v>
      </c>
      <c r="H67" s="2" t="s">
        <v>30</v>
      </c>
      <c r="I67" s="2" t="s">
        <v>31</v>
      </c>
      <c r="J67" s="2" t="s">
        <v>27</v>
      </c>
      <c r="K67" s="2" t="s">
        <v>28</v>
      </c>
      <c r="L67" s="2" t="s">
        <v>192</v>
      </c>
      <c r="M67" s="3">
        <v>4</v>
      </c>
      <c r="N67" s="3"/>
      <c r="O67" s="3"/>
      <c r="P67" s="3">
        <v>4</v>
      </c>
    </row>
    <row r="68" spans="1:16" ht="96" customHeight="1">
      <c r="A68" s="2" t="s">
        <v>57</v>
      </c>
      <c r="B68" s="2" t="s">
        <v>52</v>
      </c>
      <c r="C68" s="2" t="s">
        <v>58</v>
      </c>
      <c r="D68" s="2" t="s">
        <v>59</v>
      </c>
      <c r="E68" s="2" t="s">
        <v>60</v>
      </c>
      <c r="F68" s="2" t="s">
        <v>61</v>
      </c>
      <c r="G68" s="2" t="s">
        <v>32</v>
      </c>
      <c r="H68" s="2" t="s">
        <v>33</v>
      </c>
      <c r="I68" s="2" t="s">
        <v>34</v>
      </c>
      <c r="J68" s="2" t="s">
        <v>23</v>
      </c>
      <c r="K68" s="2" t="s">
        <v>24</v>
      </c>
      <c r="L68" s="2" t="s">
        <v>62</v>
      </c>
      <c r="M68" s="3">
        <v>4.5</v>
      </c>
      <c r="N68" s="3"/>
      <c r="O68" s="3"/>
      <c r="P68" s="3">
        <v>5</v>
      </c>
    </row>
    <row r="69" spans="1:16" ht="96" customHeight="1">
      <c r="A69" s="2" t="s">
        <v>57</v>
      </c>
      <c r="B69" s="2" t="s">
        <v>52</v>
      </c>
      <c r="C69" s="2" t="s">
        <v>58</v>
      </c>
      <c r="D69" s="2" t="s">
        <v>59</v>
      </c>
      <c r="E69" s="2" t="s">
        <v>60</v>
      </c>
      <c r="F69" s="2" t="s">
        <v>61</v>
      </c>
      <c r="G69" s="2" t="s">
        <v>32</v>
      </c>
      <c r="H69" s="2" t="s">
        <v>33</v>
      </c>
      <c r="I69" s="2" t="s">
        <v>34</v>
      </c>
      <c r="J69" s="2" t="s">
        <v>25</v>
      </c>
      <c r="K69" s="2" t="s">
        <v>26</v>
      </c>
      <c r="L69" s="2" t="s">
        <v>63</v>
      </c>
      <c r="M69" s="3">
        <v>4</v>
      </c>
      <c r="N69" s="3"/>
      <c r="O69" s="3"/>
      <c r="P69" s="3">
        <v>4</v>
      </c>
    </row>
    <row r="70" spans="1:16" ht="96" customHeight="1">
      <c r="A70" s="2" t="s">
        <v>57</v>
      </c>
      <c r="B70" s="2" t="s">
        <v>52</v>
      </c>
      <c r="C70" s="2" t="s">
        <v>58</v>
      </c>
      <c r="D70" s="2" t="s">
        <v>59</v>
      </c>
      <c r="E70" s="2" t="s">
        <v>60</v>
      </c>
      <c r="F70" s="2" t="s">
        <v>61</v>
      </c>
      <c r="G70" s="2" t="s">
        <v>32</v>
      </c>
      <c r="H70" s="2" t="s">
        <v>33</v>
      </c>
      <c r="I70" s="2" t="s">
        <v>34</v>
      </c>
      <c r="J70" s="2" t="s">
        <v>27</v>
      </c>
      <c r="K70" s="2" t="s">
        <v>28</v>
      </c>
      <c r="L70" s="2" t="s">
        <v>64</v>
      </c>
      <c r="M70" s="3">
        <v>4</v>
      </c>
      <c r="N70" s="3"/>
      <c r="O70" s="3"/>
      <c r="P70" s="3">
        <v>4</v>
      </c>
    </row>
    <row r="71" spans="1:16" ht="96" customHeight="1">
      <c r="A71" s="2" t="s">
        <v>57</v>
      </c>
      <c r="B71" s="2" t="s">
        <v>52</v>
      </c>
      <c r="C71" s="2" t="s">
        <v>58</v>
      </c>
      <c r="D71" s="2" t="s">
        <v>59</v>
      </c>
      <c r="E71" s="2" t="s">
        <v>60</v>
      </c>
      <c r="F71" s="2" t="s">
        <v>61</v>
      </c>
      <c r="G71" s="2" t="s">
        <v>35</v>
      </c>
      <c r="H71" s="2" t="s">
        <v>36</v>
      </c>
      <c r="I71" s="2" t="s">
        <v>37</v>
      </c>
      <c r="J71" s="2" t="s">
        <v>23</v>
      </c>
      <c r="K71" s="2" t="s">
        <v>24</v>
      </c>
      <c r="L71" s="2" t="s">
        <v>193</v>
      </c>
      <c r="M71" s="3">
        <v>4</v>
      </c>
      <c r="N71" s="3"/>
      <c r="O71" s="3"/>
      <c r="P71" s="3">
        <v>4</v>
      </c>
    </row>
    <row r="72" spans="1:16" ht="96" customHeight="1">
      <c r="A72" s="2" t="s">
        <v>57</v>
      </c>
      <c r="B72" s="2" t="s">
        <v>52</v>
      </c>
      <c r="C72" s="2" t="s">
        <v>58</v>
      </c>
      <c r="D72" s="2" t="s">
        <v>59</v>
      </c>
      <c r="E72" s="2" t="s">
        <v>60</v>
      </c>
      <c r="F72" s="2" t="s">
        <v>61</v>
      </c>
      <c r="G72" s="2" t="s">
        <v>35</v>
      </c>
      <c r="H72" s="2" t="s">
        <v>36</v>
      </c>
      <c r="I72" s="2" t="s">
        <v>37</v>
      </c>
      <c r="J72" s="2" t="s">
        <v>25</v>
      </c>
      <c r="K72" s="2" t="s">
        <v>26</v>
      </c>
      <c r="L72" s="2" t="s">
        <v>65</v>
      </c>
      <c r="M72" s="3">
        <v>4</v>
      </c>
      <c r="N72" s="3"/>
      <c r="O72" s="3"/>
      <c r="P72" s="3">
        <v>4</v>
      </c>
    </row>
    <row r="73" spans="1:16" ht="96" customHeight="1">
      <c r="A73" s="2" t="s">
        <v>57</v>
      </c>
      <c r="B73" s="2" t="s">
        <v>52</v>
      </c>
      <c r="C73" s="2" t="s">
        <v>58</v>
      </c>
      <c r="D73" s="2" t="s">
        <v>59</v>
      </c>
      <c r="E73" s="2" t="s">
        <v>60</v>
      </c>
      <c r="F73" s="2" t="s">
        <v>61</v>
      </c>
      <c r="G73" s="2" t="s">
        <v>35</v>
      </c>
      <c r="H73" s="2" t="s">
        <v>36</v>
      </c>
      <c r="I73" s="2" t="s">
        <v>37</v>
      </c>
      <c r="J73" s="2" t="s">
        <v>27</v>
      </c>
      <c r="K73" s="2" t="s">
        <v>28</v>
      </c>
      <c r="L73" s="2" t="s">
        <v>66</v>
      </c>
      <c r="M73" s="3">
        <v>4</v>
      </c>
      <c r="N73" s="3"/>
      <c r="O73" s="3"/>
      <c r="P73" s="3">
        <v>4</v>
      </c>
    </row>
    <row r="74" spans="1:16" ht="96" customHeight="1">
      <c r="A74" s="2" t="s">
        <v>57</v>
      </c>
      <c r="B74" s="2" t="s">
        <v>52</v>
      </c>
      <c r="C74" s="2" t="s">
        <v>58</v>
      </c>
      <c r="D74" s="2" t="s">
        <v>59</v>
      </c>
      <c r="E74" s="2" t="s">
        <v>60</v>
      </c>
      <c r="F74" s="2" t="s">
        <v>61</v>
      </c>
      <c r="G74" s="2" t="s">
        <v>38</v>
      </c>
      <c r="H74" s="2" t="s">
        <v>39</v>
      </c>
      <c r="I74" s="2" t="s">
        <v>40</v>
      </c>
      <c r="J74" s="2" t="s">
        <v>23</v>
      </c>
      <c r="K74" s="2" t="s">
        <v>24</v>
      </c>
      <c r="L74" s="2" t="s">
        <v>194</v>
      </c>
      <c r="M74" s="3">
        <v>4.5</v>
      </c>
      <c r="N74" s="3"/>
      <c r="O74" s="3"/>
      <c r="P74" s="3">
        <v>5</v>
      </c>
    </row>
    <row r="75" spans="1:16" ht="96" customHeight="1">
      <c r="A75" s="2" t="s">
        <v>57</v>
      </c>
      <c r="B75" s="2" t="s">
        <v>52</v>
      </c>
      <c r="C75" s="2" t="s">
        <v>58</v>
      </c>
      <c r="D75" s="2" t="s">
        <v>59</v>
      </c>
      <c r="E75" s="2" t="s">
        <v>60</v>
      </c>
      <c r="F75" s="2" t="s">
        <v>61</v>
      </c>
      <c r="G75" s="2" t="s">
        <v>38</v>
      </c>
      <c r="H75" s="2" t="s">
        <v>39</v>
      </c>
      <c r="I75" s="2" t="s">
        <v>40</v>
      </c>
      <c r="J75" s="2" t="s">
        <v>25</v>
      </c>
      <c r="K75" s="2" t="s">
        <v>26</v>
      </c>
      <c r="L75" s="2" t="s">
        <v>67</v>
      </c>
      <c r="M75" s="3">
        <v>4.5</v>
      </c>
      <c r="N75" s="3"/>
      <c r="O75" s="3"/>
      <c r="P75" s="3">
        <v>5</v>
      </c>
    </row>
    <row r="76" spans="1:16" ht="96" customHeight="1">
      <c r="A76" s="2" t="s">
        <v>57</v>
      </c>
      <c r="B76" s="2" t="s">
        <v>52</v>
      </c>
      <c r="C76" s="2" t="s">
        <v>58</v>
      </c>
      <c r="D76" s="2" t="s">
        <v>59</v>
      </c>
      <c r="E76" s="2" t="s">
        <v>60</v>
      </c>
      <c r="F76" s="2" t="s">
        <v>61</v>
      </c>
      <c r="G76" s="2" t="s">
        <v>38</v>
      </c>
      <c r="H76" s="2" t="s">
        <v>39</v>
      </c>
      <c r="I76" s="2" t="s">
        <v>40</v>
      </c>
      <c r="J76" s="2" t="s">
        <v>27</v>
      </c>
      <c r="K76" s="2" t="s">
        <v>28</v>
      </c>
      <c r="L76" s="2" t="s">
        <v>68</v>
      </c>
      <c r="M76" s="3">
        <v>4.5</v>
      </c>
      <c r="N76" s="3"/>
      <c r="O76" s="3"/>
      <c r="P76" s="3">
        <v>5</v>
      </c>
    </row>
    <row r="77" spans="1:16" ht="96" customHeight="1">
      <c r="A77" s="2" t="s">
        <v>69</v>
      </c>
      <c r="B77" s="2" t="s">
        <v>70</v>
      </c>
      <c r="C77" s="2" t="s">
        <v>71</v>
      </c>
      <c r="D77" s="2" t="s">
        <v>72</v>
      </c>
      <c r="E77" s="2" t="s">
        <v>73</v>
      </c>
      <c r="F77" s="2" t="s">
        <v>74</v>
      </c>
      <c r="G77" s="2" t="s">
        <v>20</v>
      </c>
      <c r="H77" s="2" t="s">
        <v>21</v>
      </c>
      <c r="I77" s="2" t="s">
        <v>22</v>
      </c>
      <c r="J77" s="2" t="s">
        <v>23</v>
      </c>
      <c r="K77" s="2" t="s">
        <v>24</v>
      </c>
      <c r="L77" s="2" t="s">
        <v>195</v>
      </c>
      <c r="M77" s="3">
        <v>4.5</v>
      </c>
      <c r="N77" s="3"/>
      <c r="O77" s="3"/>
      <c r="P77" s="3">
        <v>5</v>
      </c>
    </row>
    <row r="78" spans="1:16" ht="96" customHeight="1">
      <c r="A78" s="2" t="s">
        <v>69</v>
      </c>
      <c r="B78" s="2" t="s">
        <v>70</v>
      </c>
      <c r="C78" s="2" t="s">
        <v>71</v>
      </c>
      <c r="D78" s="2" t="s">
        <v>72</v>
      </c>
      <c r="E78" s="2" t="s">
        <v>73</v>
      </c>
      <c r="F78" s="2" t="s">
        <v>74</v>
      </c>
      <c r="G78" s="2" t="s">
        <v>20</v>
      </c>
      <c r="H78" s="2" t="s">
        <v>21</v>
      </c>
      <c r="I78" s="2" t="s">
        <v>22</v>
      </c>
      <c r="J78" s="2" t="s">
        <v>25</v>
      </c>
      <c r="K78" s="2" t="s">
        <v>26</v>
      </c>
      <c r="L78" s="2" t="s">
        <v>75</v>
      </c>
      <c r="M78" s="3">
        <v>4.5</v>
      </c>
      <c r="N78" s="3"/>
      <c r="O78" s="3"/>
      <c r="P78" s="3">
        <v>5</v>
      </c>
    </row>
    <row r="79" spans="1:16" ht="96" customHeight="1">
      <c r="A79" s="2" t="s">
        <v>69</v>
      </c>
      <c r="B79" s="2" t="s">
        <v>70</v>
      </c>
      <c r="C79" s="2" t="s">
        <v>71</v>
      </c>
      <c r="D79" s="2" t="s">
        <v>72</v>
      </c>
      <c r="E79" s="2" t="s">
        <v>73</v>
      </c>
      <c r="F79" s="2" t="s">
        <v>74</v>
      </c>
      <c r="G79" s="2" t="s">
        <v>20</v>
      </c>
      <c r="H79" s="2" t="s">
        <v>21</v>
      </c>
      <c r="I79" s="2" t="s">
        <v>22</v>
      </c>
      <c r="J79" s="2" t="s">
        <v>27</v>
      </c>
      <c r="K79" s="2" t="s">
        <v>28</v>
      </c>
      <c r="L79" s="2" t="s">
        <v>76</v>
      </c>
      <c r="M79" s="3">
        <v>4.5</v>
      </c>
      <c r="N79" s="3"/>
      <c r="O79" s="3"/>
      <c r="P79" s="3">
        <v>5</v>
      </c>
    </row>
    <row r="80" spans="1:16" ht="96" customHeight="1">
      <c r="A80" s="2" t="s">
        <v>69</v>
      </c>
      <c r="B80" s="2" t="s">
        <v>70</v>
      </c>
      <c r="C80" s="2" t="s">
        <v>71</v>
      </c>
      <c r="D80" s="2" t="s">
        <v>72</v>
      </c>
      <c r="E80" s="2" t="s">
        <v>73</v>
      </c>
      <c r="F80" s="2" t="s">
        <v>74</v>
      </c>
      <c r="G80" s="2" t="s">
        <v>29</v>
      </c>
      <c r="H80" s="2" t="s">
        <v>30</v>
      </c>
      <c r="I80" s="2" t="s">
        <v>31</v>
      </c>
      <c r="J80" s="2" t="s">
        <v>23</v>
      </c>
      <c r="K80" s="2" t="s">
        <v>24</v>
      </c>
      <c r="L80" s="2" t="s">
        <v>77</v>
      </c>
      <c r="M80" s="3">
        <v>4.5</v>
      </c>
      <c r="N80" s="3"/>
      <c r="O80" s="3"/>
      <c r="P80" s="3">
        <v>5</v>
      </c>
    </row>
    <row r="81" spans="1:16" ht="96" customHeight="1">
      <c r="A81" s="2" t="s">
        <v>69</v>
      </c>
      <c r="B81" s="2" t="s">
        <v>70</v>
      </c>
      <c r="C81" s="2" t="s">
        <v>71</v>
      </c>
      <c r="D81" s="2" t="s">
        <v>72</v>
      </c>
      <c r="E81" s="2" t="s">
        <v>73</v>
      </c>
      <c r="F81" s="2" t="s">
        <v>74</v>
      </c>
      <c r="G81" s="2" t="s">
        <v>29</v>
      </c>
      <c r="H81" s="2" t="s">
        <v>30</v>
      </c>
      <c r="I81" s="2" t="s">
        <v>31</v>
      </c>
      <c r="J81" s="2" t="s">
        <v>25</v>
      </c>
      <c r="K81" s="2" t="s">
        <v>26</v>
      </c>
      <c r="L81" s="2" t="s">
        <v>78</v>
      </c>
      <c r="M81" s="3">
        <v>4.5</v>
      </c>
      <c r="N81" s="3"/>
      <c r="O81" s="3"/>
      <c r="P81" s="3">
        <v>5</v>
      </c>
    </row>
    <row r="82" spans="1:16" ht="96" customHeight="1">
      <c r="A82" s="2" t="s">
        <v>69</v>
      </c>
      <c r="B82" s="2" t="s">
        <v>70</v>
      </c>
      <c r="C82" s="2" t="s">
        <v>71</v>
      </c>
      <c r="D82" s="2" t="s">
        <v>72</v>
      </c>
      <c r="E82" s="2" t="s">
        <v>73</v>
      </c>
      <c r="F82" s="2" t="s">
        <v>74</v>
      </c>
      <c r="G82" s="2" t="s">
        <v>29</v>
      </c>
      <c r="H82" s="2" t="s">
        <v>30</v>
      </c>
      <c r="I82" s="2" t="s">
        <v>31</v>
      </c>
      <c r="J82" s="2" t="s">
        <v>27</v>
      </c>
      <c r="K82" s="2" t="s">
        <v>28</v>
      </c>
      <c r="L82" s="2" t="s">
        <v>79</v>
      </c>
      <c r="M82" s="3">
        <v>4.5</v>
      </c>
      <c r="N82" s="3"/>
      <c r="O82" s="3"/>
      <c r="P82" s="3">
        <v>5</v>
      </c>
    </row>
    <row r="83" spans="1:16" ht="96" customHeight="1">
      <c r="A83" s="2" t="s">
        <v>69</v>
      </c>
      <c r="B83" s="2" t="s">
        <v>70</v>
      </c>
      <c r="C83" s="2" t="s">
        <v>71</v>
      </c>
      <c r="D83" s="2" t="s">
        <v>72</v>
      </c>
      <c r="E83" s="2" t="s">
        <v>73</v>
      </c>
      <c r="F83" s="2" t="s">
        <v>74</v>
      </c>
      <c r="G83" s="2" t="s">
        <v>32</v>
      </c>
      <c r="H83" s="2" t="s">
        <v>33</v>
      </c>
      <c r="I83" s="2" t="s">
        <v>34</v>
      </c>
      <c r="J83" s="2" t="s">
        <v>23</v>
      </c>
      <c r="K83" s="2" t="s">
        <v>24</v>
      </c>
      <c r="L83" s="2" t="s">
        <v>80</v>
      </c>
      <c r="M83" s="3">
        <v>4.5</v>
      </c>
      <c r="N83" s="3"/>
      <c r="O83" s="3"/>
      <c r="P83" s="3">
        <v>5</v>
      </c>
    </row>
    <row r="84" spans="1:16" ht="96" customHeight="1">
      <c r="A84" s="2" t="s">
        <v>69</v>
      </c>
      <c r="B84" s="2" t="s">
        <v>70</v>
      </c>
      <c r="C84" s="2" t="s">
        <v>71</v>
      </c>
      <c r="D84" s="2" t="s">
        <v>72</v>
      </c>
      <c r="E84" s="2" t="s">
        <v>73</v>
      </c>
      <c r="F84" s="2" t="s">
        <v>74</v>
      </c>
      <c r="G84" s="2" t="s">
        <v>32</v>
      </c>
      <c r="H84" s="2" t="s">
        <v>33</v>
      </c>
      <c r="I84" s="2" t="s">
        <v>34</v>
      </c>
      <c r="J84" s="2" t="s">
        <v>25</v>
      </c>
      <c r="K84" s="2" t="s">
        <v>26</v>
      </c>
      <c r="L84" s="2" t="s">
        <v>81</v>
      </c>
      <c r="M84" s="3">
        <v>4.5</v>
      </c>
      <c r="N84" s="3"/>
      <c r="O84" s="3"/>
      <c r="P84" s="3">
        <v>5</v>
      </c>
    </row>
    <row r="85" spans="1:16" ht="96" customHeight="1">
      <c r="A85" s="2" t="s">
        <v>69</v>
      </c>
      <c r="B85" s="2" t="s">
        <v>70</v>
      </c>
      <c r="C85" s="2" t="s">
        <v>71</v>
      </c>
      <c r="D85" s="2" t="s">
        <v>72</v>
      </c>
      <c r="E85" s="2" t="s">
        <v>73</v>
      </c>
      <c r="F85" s="2" t="s">
        <v>74</v>
      </c>
      <c r="G85" s="2" t="s">
        <v>32</v>
      </c>
      <c r="H85" s="2" t="s">
        <v>33</v>
      </c>
      <c r="I85" s="2" t="s">
        <v>34</v>
      </c>
      <c r="J85" s="2" t="s">
        <v>27</v>
      </c>
      <c r="K85" s="2" t="s">
        <v>28</v>
      </c>
      <c r="L85" s="2" t="s">
        <v>82</v>
      </c>
      <c r="M85" s="3">
        <v>4.5</v>
      </c>
      <c r="N85" s="3"/>
      <c r="O85" s="3"/>
      <c r="P85" s="3">
        <v>5</v>
      </c>
    </row>
    <row r="86" spans="1:16" ht="96" customHeight="1">
      <c r="A86" s="2" t="s">
        <v>69</v>
      </c>
      <c r="B86" s="2" t="s">
        <v>70</v>
      </c>
      <c r="C86" s="2" t="s">
        <v>71</v>
      </c>
      <c r="D86" s="2" t="s">
        <v>72</v>
      </c>
      <c r="E86" s="2" t="s">
        <v>73</v>
      </c>
      <c r="F86" s="2" t="s">
        <v>74</v>
      </c>
      <c r="G86" s="2" t="s">
        <v>35</v>
      </c>
      <c r="H86" s="2" t="s">
        <v>36</v>
      </c>
      <c r="I86" s="2" t="s">
        <v>37</v>
      </c>
      <c r="J86" s="2" t="s">
        <v>23</v>
      </c>
      <c r="K86" s="2" t="s">
        <v>24</v>
      </c>
      <c r="L86" s="2" t="s">
        <v>83</v>
      </c>
      <c r="M86" s="3">
        <v>4.5</v>
      </c>
      <c r="N86" s="3"/>
      <c r="O86" s="3"/>
      <c r="P86" s="3">
        <v>5</v>
      </c>
    </row>
    <row r="87" spans="1:16" ht="96" customHeight="1">
      <c r="A87" s="2" t="s">
        <v>69</v>
      </c>
      <c r="B87" s="2" t="s">
        <v>70</v>
      </c>
      <c r="C87" s="2" t="s">
        <v>71</v>
      </c>
      <c r="D87" s="2" t="s">
        <v>72</v>
      </c>
      <c r="E87" s="2" t="s">
        <v>73</v>
      </c>
      <c r="F87" s="2" t="s">
        <v>74</v>
      </c>
      <c r="G87" s="2" t="s">
        <v>35</v>
      </c>
      <c r="H87" s="2" t="s">
        <v>36</v>
      </c>
      <c r="I87" s="2" t="s">
        <v>37</v>
      </c>
      <c r="J87" s="2" t="s">
        <v>25</v>
      </c>
      <c r="K87" s="2" t="s">
        <v>26</v>
      </c>
      <c r="L87" s="2" t="s">
        <v>84</v>
      </c>
      <c r="M87" s="3">
        <v>4</v>
      </c>
      <c r="N87" s="3"/>
      <c r="O87" s="3"/>
      <c r="P87" s="3">
        <v>4</v>
      </c>
    </row>
    <row r="88" spans="1:16" ht="96" customHeight="1">
      <c r="A88" s="2" t="s">
        <v>69</v>
      </c>
      <c r="B88" s="2" t="s">
        <v>70</v>
      </c>
      <c r="C88" s="2" t="s">
        <v>71</v>
      </c>
      <c r="D88" s="2" t="s">
        <v>72</v>
      </c>
      <c r="E88" s="2" t="s">
        <v>73</v>
      </c>
      <c r="F88" s="2" t="s">
        <v>74</v>
      </c>
      <c r="G88" s="2" t="s">
        <v>35</v>
      </c>
      <c r="H88" s="2" t="s">
        <v>36</v>
      </c>
      <c r="I88" s="2" t="s">
        <v>37</v>
      </c>
      <c r="J88" s="2" t="s">
        <v>27</v>
      </c>
      <c r="K88" s="2" t="s">
        <v>28</v>
      </c>
      <c r="L88" s="2" t="s">
        <v>85</v>
      </c>
      <c r="M88" s="3">
        <v>4</v>
      </c>
      <c r="N88" s="3"/>
      <c r="O88" s="3"/>
      <c r="P88" s="3">
        <v>4</v>
      </c>
    </row>
    <row r="89" spans="1:16" ht="96" customHeight="1">
      <c r="A89" s="2" t="s">
        <v>69</v>
      </c>
      <c r="B89" s="2" t="s">
        <v>70</v>
      </c>
      <c r="C89" s="2" t="s">
        <v>71</v>
      </c>
      <c r="D89" s="2" t="s">
        <v>72</v>
      </c>
      <c r="E89" s="2" t="s">
        <v>73</v>
      </c>
      <c r="F89" s="2" t="s">
        <v>74</v>
      </c>
      <c r="G89" s="2" t="s">
        <v>38</v>
      </c>
      <c r="H89" s="2" t="s">
        <v>39</v>
      </c>
      <c r="I89" s="2" t="s">
        <v>40</v>
      </c>
      <c r="J89" s="2" t="s">
        <v>23</v>
      </c>
      <c r="K89" s="2" t="s">
        <v>24</v>
      </c>
      <c r="L89" s="2" t="s">
        <v>86</v>
      </c>
      <c r="M89" s="3">
        <v>4.5</v>
      </c>
      <c r="N89" s="3"/>
      <c r="O89" s="3"/>
      <c r="P89" s="3">
        <v>5</v>
      </c>
    </row>
    <row r="90" spans="1:16" ht="96" customHeight="1">
      <c r="A90" s="2" t="s">
        <v>69</v>
      </c>
      <c r="B90" s="2" t="s">
        <v>70</v>
      </c>
      <c r="C90" s="2" t="s">
        <v>71</v>
      </c>
      <c r="D90" s="2" t="s">
        <v>72</v>
      </c>
      <c r="E90" s="2" t="s">
        <v>73</v>
      </c>
      <c r="F90" s="2" t="s">
        <v>74</v>
      </c>
      <c r="G90" s="2" t="s">
        <v>38</v>
      </c>
      <c r="H90" s="2" t="s">
        <v>39</v>
      </c>
      <c r="I90" s="2" t="s">
        <v>40</v>
      </c>
      <c r="J90" s="2" t="s">
        <v>25</v>
      </c>
      <c r="K90" s="2" t="s">
        <v>26</v>
      </c>
      <c r="L90" s="2" t="s">
        <v>87</v>
      </c>
      <c r="M90" s="3">
        <v>4.5</v>
      </c>
      <c r="N90" s="3"/>
      <c r="O90" s="3"/>
      <c r="P90" s="3">
        <v>5</v>
      </c>
    </row>
    <row r="91" spans="1:16" ht="96" customHeight="1">
      <c r="A91" s="2" t="s">
        <v>69</v>
      </c>
      <c r="B91" s="2" t="s">
        <v>70</v>
      </c>
      <c r="C91" s="2" t="s">
        <v>71</v>
      </c>
      <c r="D91" s="2" t="s">
        <v>72</v>
      </c>
      <c r="E91" s="2" t="s">
        <v>73</v>
      </c>
      <c r="F91" s="2" t="s">
        <v>74</v>
      </c>
      <c r="G91" s="2" t="s">
        <v>38</v>
      </c>
      <c r="H91" s="2" t="s">
        <v>39</v>
      </c>
      <c r="I91" s="2" t="s">
        <v>40</v>
      </c>
      <c r="J91" s="2" t="s">
        <v>27</v>
      </c>
      <c r="K91" s="2" t="s">
        <v>28</v>
      </c>
      <c r="L91" s="2" t="s">
        <v>88</v>
      </c>
      <c r="M91" s="3">
        <v>4.5</v>
      </c>
      <c r="N91" s="3"/>
      <c r="O91" s="3"/>
      <c r="P91" s="3">
        <v>5</v>
      </c>
    </row>
  </sheetData>
  <phoneticPr fontId="5" type="noConversion"/>
  <dataValidations count="1">
    <dataValidation type="list" sqref="M2:M91 P2:P91" xr:uid="{00000000-0002-0000-0000-000000000000}">
      <formula1>"0,0.5,1,1.5,2,2.5,3,3.5,4,4.5,5"</formula1>
    </dataValidation>
  </dataValidations>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showGridLines="0" workbookViewId="0"/>
  </sheetViews>
  <sheetFormatPr baseColWidth="10" defaultColWidth="8.83203125" defaultRowHeight="14"/>
  <cols>
    <col min="1" max="1" width="18.83203125" customWidth="1"/>
    <col min="2" max="2" width="40" customWidth="1"/>
    <col min="4" max="4" width="18.83203125" customWidth="1"/>
    <col min="5" max="6" width="40" customWidth="1"/>
  </cols>
  <sheetData>
    <row r="1" spans="1:6" ht="19">
      <c r="A1" s="12" t="s">
        <v>89</v>
      </c>
      <c r="B1" s="12"/>
      <c r="C1" s="12"/>
      <c r="D1" s="12"/>
      <c r="E1" s="12"/>
      <c r="F1" s="12"/>
    </row>
    <row r="2" spans="1:6" ht="15">
      <c r="D2" s="7" t="s">
        <v>90</v>
      </c>
      <c r="E2" s="7" t="s">
        <v>4</v>
      </c>
    </row>
    <row r="3" spans="1:6" ht="30">
      <c r="A3" s="5" t="s">
        <v>91</v>
      </c>
      <c r="B3" s="2" t="s">
        <v>92</v>
      </c>
      <c r="C3" s="2"/>
      <c r="D3" s="2" t="s">
        <v>14</v>
      </c>
      <c r="E3" s="2" t="s">
        <v>18</v>
      </c>
      <c r="F3" s="2"/>
    </row>
    <row r="4" spans="1:6" ht="30">
      <c r="A4" s="5" t="s">
        <v>93</v>
      </c>
      <c r="B4" s="2" t="s">
        <v>94</v>
      </c>
      <c r="C4" s="2"/>
      <c r="D4" s="2" t="s">
        <v>41</v>
      </c>
      <c r="E4" s="2" t="s">
        <v>18</v>
      </c>
      <c r="F4" s="2"/>
    </row>
    <row r="5" spans="1:6" ht="30">
      <c r="A5" s="5" t="s">
        <v>95</v>
      </c>
      <c r="B5" s="2" t="s">
        <v>96</v>
      </c>
      <c r="C5" s="2"/>
      <c r="D5" s="2" t="s">
        <v>45</v>
      </c>
      <c r="E5" s="2" t="s">
        <v>48</v>
      </c>
      <c r="F5" s="2"/>
    </row>
    <row r="6" spans="1:6" ht="30">
      <c r="A6" s="5" t="s">
        <v>97</v>
      </c>
      <c r="B6" s="2" t="s">
        <v>98</v>
      </c>
      <c r="C6" s="2"/>
      <c r="D6" s="2" t="s">
        <v>51</v>
      </c>
      <c r="E6" s="2" t="s">
        <v>55</v>
      </c>
      <c r="F6" s="2"/>
    </row>
    <row r="7" spans="1:6" ht="30">
      <c r="A7" s="5" t="s">
        <v>99</v>
      </c>
      <c r="B7" s="2" t="s">
        <v>100</v>
      </c>
      <c r="C7" s="2"/>
      <c r="D7" s="2" t="s">
        <v>57</v>
      </c>
      <c r="E7" s="2" t="s">
        <v>60</v>
      </c>
      <c r="F7" s="2"/>
    </row>
    <row r="8" spans="1:6" ht="30">
      <c r="A8" s="5" t="s">
        <v>101</v>
      </c>
      <c r="B8" s="2">
        <v>6</v>
      </c>
      <c r="C8" s="2"/>
      <c r="D8" s="2" t="s">
        <v>69</v>
      </c>
      <c r="E8" s="2" t="s">
        <v>73</v>
      </c>
      <c r="F8" s="2"/>
    </row>
    <row r="9" spans="1:6" ht="16">
      <c r="A9" s="5" t="s">
        <v>102</v>
      </c>
      <c r="B9" s="2">
        <v>3</v>
      </c>
      <c r="C9" s="2"/>
      <c r="D9" s="2"/>
      <c r="E9" s="2"/>
      <c r="F9" s="2"/>
    </row>
    <row r="10" spans="1:6" ht="16">
      <c r="A10" s="5" t="s">
        <v>103</v>
      </c>
      <c r="B10" s="2">
        <v>90</v>
      </c>
      <c r="C10" s="2"/>
      <c r="D10" s="5" t="s">
        <v>9</v>
      </c>
      <c r="E10" s="5" t="s">
        <v>10</v>
      </c>
      <c r="F10" s="5" t="s">
        <v>104</v>
      </c>
    </row>
    <row r="11" spans="1:6" ht="30">
      <c r="A11" s="2"/>
      <c r="B11" s="2"/>
      <c r="C11" s="2"/>
      <c r="D11" s="2" t="s">
        <v>23</v>
      </c>
      <c r="E11" s="2" t="s">
        <v>24</v>
      </c>
      <c r="F11" s="2" t="s">
        <v>105</v>
      </c>
    </row>
    <row r="12" spans="1:6" ht="30">
      <c r="A12" s="6" t="s">
        <v>106</v>
      </c>
      <c r="B12" s="2" t="s">
        <v>107</v>
      </c>
      <c r="C12" s="2"/>
      <c r="D12" s="2" t="s">
        <v>25</v>
      </c>
      <c r="E12" s="2" t="s">
        <v>26</v>
      </c>
      <c r="F12" s="2" t="s">
        <v>108</v>
      </c>
    </row>
    <row r="13" spans="1:6" ht="30">
      <c r="A13" s="6" t="s">
        <v>109</v>
      </c>
      <c r="B13" s="2" t="s">
        <v>110</v>
      </c>
      <c r="C13" s="2"/>
      <c r="D13" s="2" t="s">
        <v>27</v>
      </c>
      <c r="E13" s="2" t="s">
        <v>28</v>
      </c>
      <c r="F13" s="2" t="s">
        <v>111</v>
      </c>
    </row>
    <row r="14" spans="1:6" ht="16">
      <c r="A14" s="6" t="s">
        <v>112</v>
      </c>
      <c r="B14" s="2" t="s">
        <v>113</v>
      </c>
      <c r="C14" s="2"/>
      <c r="D14" s="2"/>
      <c r="E14" s="2"/>
      <c r="F14" s="2"/>
    </row>
    <row r="15" spans="1:6" ht="16">
      <c r="A15" s="6" t="s">
        <v>114</v>
      </c>
      <c r="B15" s="2" t="s">
        <v>115</v>
      </c>
      <c r="C15" s="2"/>
      <c r="D15" s="2"/>
      <c r="E15" s="2"/>
      <c r="F15" s="2"/>
    </row>
    <row r="16" spans="1:6" ht="16">
      <c r="A16" s="6" t="s">
        <v>116</v>
      </c>
      <c r="B16" s="2" t="s">
        <v>117</v>
      </c>
      <c r="C16" s="2"/>
      <c r="D16" s="2"/>
      <c r="E16" s="2"/>
      <c r="F16" s="2"/>
    </row>
    <row r="17" spans="1:6" ht="30">
      <c r="A17" s="6" t="s">
        <v>118</v>
      </c>
      <c r="B17" s="2" t="s">
        <v>119</v>
      </c>
      <c r="C17" s="2"/>
      <c r="D17" s="2"/>
      <c r="E17" s="2"/>
      <c r="F17" s="2"/>
    </row>
    <row r="18" spans="1:6" ht="16">
      <c r="A18" s="6" t="s">
        <v>120</v>
      </c>
      <c r="B18" s="2" t="s">
        <v>121</v>
      </c>
      <c r="C18" s="2"/>
      <c r="D18" s="2"/>
      <c r="E18" s="2"/>
      <c r="F18" s="2"/>
    </row>
  </sheetData>
  <mergeCells count="1">
    <mergeCell ref="A1:F1"/>
  </mergeCells>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
  <sheetViews>
    <sheetView showGridLines="0" workbookViewId="0"/>
  </sheetViews>
  <sheetFormatPr baseColWidth="10" defaultColWidth="8.83203125" defaultRowHeight="14"/>
  <cols>
    <col min="1" max="6" width="17.1640625" customWidth="1"/>
  </cols>
  <sheetData>
    <row r="1" spans="1:6" ht="15">
      <c r="A1" s="8" t="s">
        <v>0</v>
      </c>
      <c r="B1" s="8" t="s">
        <v>103</v>
      </c>
      <c r="C1" s="8" t="s">
        <v>122</v>
      </c>
      <c r="D1" s="8" t="s">
        <v>123</v>
      </c>
      <c r="E1" s="8" t="s">
        <v>124</v>
      </c>
      <c r="F1" s="8" t="s">
        <v>125</v>
      </c>
    </row>
    <row r="2" spans="1:6">
      <c r="A2" t="s">
        <v>14</v>
      </c>
      <c r="B2" s="9">
        <f>COUNTIF(人工评分!$A$2:$A$91,A2)</f>
        <v>15</v>
      </c>
      <c r="C2" s="9">
        <f>SUMPRODUCT((人工评分!$A$2:$A$91=A2)*ISNUMBER(人工评分!$M$2:$M$91)*(人工评分!$M$2:$M$91&gt;=0)*(人工评分!$M$2:$M$91&lt;=5))</f>
        <v>15</v>
      </c>
      <c r="D2" s="9">
        <f t="shared" ref="D2:D7" si="0">B2-C2</f>
        <v>0</v>
      </c>
      <c r="E2" s="10">
        <f t="shared" ref="E2:E7" si="1">IF(B2=0,"",C2/B2)</f>
        <v>1</v>
      </c>
      <c r="F2" s="11">
        <f>IF(C2=0,"",SUMPRODUCT((人工评分!$A$2:$A$91=A2)*ISNUMBER(人工评分!$M$2:$M$91)*人工评分!$M$2:$M$91)/C2)</f>
        <v>4.333333333333333</v>
      </c>
    </row>
    <row r="3" spans="1:6">
      <c r="A3" t="s">
        <v>41</v>
      </c>
      <c r="B3" s="9">
        <f>COUNTIF(人工评分!$A$2:$A$91,A3)</f>
        <v>15</v>
      </c>
      <c r="C3" s="9">
        <f>SUMPRODUCT((人工评分!$A$2:$A$91=A3)*ISNUMBER(人工评分!$M$2:$M$91)*(人工评分!$M$2:$M$91&gt;=0)*(人工评分!$M$2:$M$91&lt;=5))</f>
        <v>15</v>
      </c>
      <c r="D3" s="9">
        <f t="shared" si="0"/>
        <v>0</v>
      </c>
      <c r="E3" s="10">
        <f t="shared" si="1"/>
        <v>1</v>
      </c>
      <c r="F3" s="11">
        <f>IF(C3=0,"",SUMPRODUCT((人工评分!$A$2:$A$91=A3)*ISNUMBER(人工评分!$M$2:$M$91)*人工评分!$M$2:$M$91)/C3)</f>
        <v>4.0999999999999996</v>
      </c>
    </row>
    <row r="4" spans="1:6">
      <c r="A4" t="s">
        <v>45</v>
      </c>
      <c r="B4" s="9">
        <f>COUNTIF(人工评分!$A$2:$A$91,A4)</f>
        <v>15</v>
      </c>
      <c r="C4" s="9">
        <f>SUMPRODUCT((人工评分!$A$2:$A$91=A4)*ISNUMBER(人工评分!$M$2:$M$91)*(人工评分!$M$2:$M$91&gt;=0)*(人工评分!$M$2:$M$91&lt;=5))</f>
        <v>15</v>
      </c>
      <c r="D4" s="9">
        <f t="shared" si="0"/>
        <v>0</v>
      </c>
      <c r="E4" s="10">
        <f t="shared" si="1"/>
        <v>1</v>
      </c>
      <c r="F4" s="11">
        <f>IF(C4=0,"",SUMPRODUCT((人工评分!$A$2:$A$91=A4)*ISNUMBER(人工评分!$M$2:$M$91)*人工评分!$M$2:$M$91)/C4)</f>
        <v>3.9666666666666668</v>
      </c>
    </row>
    <row r="5" spans="1:6">
      <c r="A5" t="s">
        <v>51</v>
      </c>
      <c r="B5" s="9">
        <f>COUNTIF(人工评分!$A$2:$A$91,A5)</f>
        <v>15</v>
      </c>
      <c r="C5" s="9">
        <f>SUMPRODUCT((人工评分!$A$2:$A$91=A5)*ISNUMBER(人工评分!$M$2:$M$91)*(人工评分!$M$2:$M$91&gt;=0)*(人工评分!$M$2:$M$91&lt;=5))</f>
        <v>15</v>
      </c>
      <c r="D5" s="9">
        <f t="shared" si="0"/>
        <v>0</v>
      </c>
      <c r="E5" s="10">
        <f t="shared" si="1"/>
        <v>1</v>
      </c>
      <c r="F5" s="11">
        <f>IF(C5=0,"",SUMPRODUCT((人工评分!$A$2:$A$91=A5)*ISNUMBER(人工评分!$M$2:$M$91)*人工评分!$M$2:$M$91)/C5)</f>
        <v>4.2333333333333334</v>
      </c>
    </row>
    <row r="6" spans="1:6">
      <c r="A6" t="s">
        <v>57</v>
      </c>
      <c r="B6" s="9">
        <f>COUNTIF(人工评分!$A$2:$A$91,A6)</f>
        <v>15</v>
      </c>
      <c r="C6" s="9">
        <f>SUMPRODUCT((人工评分!$A$2:$A$91=A6)*ISNUMBER(人工评分!$M$2:$M$91)*(人工评分!$M$2:$M$91&gt;=0)*(人工评分!$M$2:$M$91&lt;=5))</f>
        <v>15</v>
      </c>
      <c r="D6" s="9">
        <f t="shared" si="0"/>
        <v>0</v>
      </c>
      <c r="E6" s="10">
        <f t="shared" si="1"/>
        <v>1</v>
      </c>
      <c r="F6" s="11">
        <f>IF(C6=0,"",SUMPRODUCT((人工评分!$A$2:$A$91=A6)*ISNUMBER(人工评分!$M$2:$M$91)*人工评分!$M$2:$M$91)/C6)</f>
        <v>4.3</v>
      </c>
    </row>
    <row r="7" spans="1:6">
      <c r="A7" t="s">
        <v>69</v>
      </c>
      <c r="B7" s="9">
        <f>COUNTIF(人工评分!$A$2:$A$91,A7)</f>
        <v>15</v>
      </c>
      <c r="C7" s="9">
        <f>SUMPRODUCT((人工评分!$A$2:$A$91=A7)*ISNUMBER(人工评分!$M$2:$M$91)*(人工评分!$M$2:$M$91&gt;=0)*(人工评分!$M$2:$M$91&lt;=5))</f>
        <v>15</v>
      </c>
      <c r="D7" s="9">
        <f t="shared" si="0"/>
        <v>0</v>
      </c>
      <c r="E7" s="10">
        <f t="shared" si="1"/>
        <v>1</v>
      </c>
      <c r="F7" s="11">
        <f>IF(C7=0,"",SUMPRODUCT((人工评分!$A$2:$A$91=A7)*ISNUMBER(人工评分!$M$2:$M$91)*人工评分!$M$2:$M$91)/C7)</f>
        <v>4.4333333333333336</v>
      </c>
    </row>
  </sheetData>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人工评分</vt:lpstr>
      <vt:lpstr>说明</vt:lpstr>
      <vt:lpstr>评分进度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f16394</cp:lastModifiedBy>
  <dcterms:modified xsi:type="dcterms:W3CDTF">2026-05-25T11:03:43Z</dcterms:modified>
</cp:coreProperties>
</file>